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ETHINGOCHA\GENAI_HUST\OOP\OOP_BTL\"/>
    </mc:Choice>
  </mc:AlternateContent>
  <bookViews>
    <workbookView xWindow="0" yWindow="0" windowWidth="23040" windowHeight="9192" tabRatio="500"/>
  </bookViews>
  <sheets>
    <sheet name="1_Sidebar" sheetId="2" r:id="rId1"/>
    <sheet name="2_PhanQuyen" sheetId="4" r:id="rId2"/>
  </sheets>
  <definedNames>
    <definedName name="_xlnm._FilterDatabase" localSheetId="0" hidden="1">'1_Sidebar'!$A$4:$M$62</definedName>
    <definedName name="_xlnm._FilterDatabase" localSheetId="1" hidden="1">'2_PhanQuyen'!$A$12:$M$85</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10" i="4" l="1"/>
  <c r="F10" i="4"/>
  <c r="E10" i="4"/>
  <c r="G9" i="4"/>
  <c r="F9" i="4"/>
  <c r="E9" i="4"/>
  <c r="G8" i="4"/>
  <c r="F8" i="4"/>
  <c r="E8" i="4"/>
  <c r="G7" i="4"/>
  <c r="F7" i="4"/>
  <c r="E7" i="4"/>
  <c r="G6" i="4"/>
  <c r="F6" i="4"/>
  <c r="E6" i="4"/>
  <c r="F70" i="2"/>
  <c r="F69" i="2"/>
  <c r="F68" i="2"/>
  <c r="F67" i="2"/>
  <c r="F66" i="2"/>
  <c r="F65" i="2"/>
</calcChain>
</file>

<file path=xl/sharedStrings.xml><?xml version="1.0" encoding="utf-8"?>
<sst xmlns="http://schemas.openxmlformats.org/spreadsheetml/2006/main" count="1296" uniqueCount="684">
  <si>
    <t>1. DANH SÁCH CHỨC NĂNG TRÊN SIDEBAR</t>
  </si>
  <si>
    <t>STT</t>
  </si>
  <si>
    <t>Sidebar</t>
  </si>
  <si>
    <t>Mã menu</t>
  </si>
  <si>
    <t>Cấp</t>
  </si>
  <si>
    <t>Chức năng cha</t>
  </si>
  <si>
    <t>Chức năng chi tiết</t>
  </si>
  <si>
    <t>Màn hình / nội dung chính</t>
  </si>
  <si>
    <t>Thao tác chính trên màn hình</t>
  </si>
  <si>
    <t>Use case</t>
  </si>
  <si>
    <t>Badge đếm</t>
  </si>
  <si>
    <t>Route gợi ý</t>
  </si>
  <si>
    <t>Icon gợi ý</t>
  </si>
  <si>
    <t>Ghi chú</t>
  </si>
  <si>
    <t>Chủ nhà</t>
  </si>
  <si>
    <t>CN-01</t>
  </si>
  <si>
    <t>Tổng quan</t>
  </si>
  <si>
    <t>dashboard</t>
  </si>
  <si>
    <t>CN-01.01</t>
  </si>
  <si>
    <t>Việc cần làm</t>
  </si>
  <si>
    <t>Màn hình chính sau đăng nhập. Danh sách việc: khoản khách báo đã chuyển chờ xác nhận, thông báo quá hạn, sự cố mới/mở lại, hợp đồng sắp hết hạn (30 ngày), phòng còn thiếu chỉ số kỳ này, yêu cầu trả phòng mới</t>
  </si>
  <si>
    <t>Chạm từng việc → mở màn hình xử lý tương ứng</t>
  </si>
  <si>
    <t>UC08.04, UC05.01, UC04.01, UC06.08</t>
  </si>
  <si>
    <t>Tổng số việc chưa xử lý</t>
  </si>
  <si>
    <t>/cn/viec-can-lam</t>
  </si>
  <si>
    <t>Mục mặc định khi mở app. UC05.01, UC04.01, UC06.08 do Bộ hẹn giờ sinh ra, kết quả hiện tại đây</t>
  </si>
  <si>
    <t>CN-01.02</t>
  </si>
  <si>
    <t>Sơ đồ tòa</t>
  </si>
  <si>
    <t>Lưới phòng theo tầng, màu theo trạng thái Trống / Đang thuê / Ngừng khai thác, nhãn Sắp trả kèm ngày trả dự kiến</t>
  </si>
  <si>
    <t>Lọc theo tầng, trạng thái; chạm phòng → Chi tiết phòng (CN-02.01)</t>
  </si>
  <si>
    <t>UC02.05</t>
  </si>
  <si>
    <t>/cn/so-do-toa</t>
  </si>
  <si>
    <t>CN-02</t>
  </si>
  <si>
    <t>Phòng &amp; bảng giá</t>
  </si>
  <si>
    <t>apartment</t>
  </si>
  <si>
    <t>CN-02.01</t>
  </si>
  <si>
    <t>Danh sách phòng</t>
  </si>
  <si>
    <t>Danh sách phòng (mã, tầng, diện tích, số người tối đa, giá niêm yết, có công tơ nước riêng hay không, trạng thái). Chi tiết phòng gồm tab Thông tin, Tài sản trong phòng, Hợp đồng hiện hành</t>
  </si>
  <si>
    <t>Thêm phòng; Sửa thông tin, giá niêm yết, khai báo có / không có công tơ nước riêng; Ngừng khai thác / Khai thác lại; Xóa phòng (chỉ phòng chưa từng có hợp đồng); Thêm, sửa tài sản và tình trạng</t>
  </si>
  <si>
    <t>UC02.01, UC02.02</t>
  </si>
  <si>
    <t>/cn/phong</t>
  </si>
  <si>
    <t>BR-DM-02, BR-DM-03, BR-DM-04: nút Xóa chỉ hiện với phòng chưa từng có hợp đồng; phòng đã có HĐ chỉ được Ngừng khai thác. Phòng không có công tơ nước riêng → nước tính theo người/tháng</t>
  </si>
  <si>
    <t>CN-02.02</t>
  </si>
  <si>
    <t>Đơn giá điện, nước</t>
  </si>
  <si>
    <t>Đơn giá điện (đ/kWh), nước theo công tơ (đ/m³), nước theo người (đ/người/tháng, áp cho phòng không có công tơ riêng) đang áp dụng và lịch sử thay đổi theo ngày hiệu lực</t>
  </si>
  <si>
    <t>Đổi đơn giá điện / nước theo công tơ / nước theo người (nhập ngày hiệu lực)</t>
  </si>
  <si>
    <t>UC02.03</t>
  </si>
  <si>
    <t>/cn/bang-gia/dien-nuoc</t>
  </si>
  <si>
    <t>BR-DM-01: hiển thị cảnh báo "chỉ áp dụng cho thông báo lập sau thời điểm đổi"</t>
  </si>
  <si>
    <t>CN-02.03</t>
  </si>
  <si>
    <t>Phí dịch vụ cố định</t>
  </si>
  <si>
    <t>Danh sách khoản phí (internet, vệ sinh, gửi xe...): tên khoản, mức, tính theo phòng hoặc theo xe</t>
  </si>
  <si>
    <t>Thêm khoản phí; Sửa mức; Ngừng áp dụng</t>
  </si>
  <si>
    <t>UC02.04</t>
  </si>
  <si>
    <t>/cn/bang-gia/phi-dich-vu</t>
  </si>
  <si>
    <t>CN-03</t>
  </si>
  <si>
    <t>Khách thuê &amp; hợp đồng</t>
  </si>
  <si>
    <t>contract</t>
  </si>
  <si>
    <t>CN-03.01</t>
  </si>
  <si>
    <t>Khách thuê</t>
  </si>
  <si>
    <t>Danh sách hồ sơ khách (đang ở / đã trả), tìm theo SĐT. Chi tiết: thông tin cá nhân, ảnh CCCD, người ở cùng, lịch sử thuê</t>
  </si>
  <si>
    <t>Tạo hồ sơ (SĐT đã có → gọi lại hồ sơ cũ); Cập nhật; Thêm, sửa, ghi nhận rời đi người ở cùng</t>
  </si>
  <si>
    <t>UC03.01, UC03.02</t>
  </si>
  <si>
    <t>/cn/khach-thue</t>
  </si>
  <si>
    <t>BR-CT-04: chặn khi vượt số người tối đa; BR-CT-06: ảnh CCCD chỉ hiện ở màn hình này</t>
  </si>
  <si>
    <t>CN-03.02</t>
  </si>
  <si>
    <t>Hợp đồng</t>
  </si>
  <si>
    <t>Danh sách hợp đồng theo trạng thái. Chi tiết: điều khoản chính, ảnh hợp đồng, ảnh phụ lục, lịch sử thay đổi (ngày, giá trị cũ, giá trị mới), thông báo tiền ký HĐ</t>
  </si>
  <si>
    <t>Tạo hợp đồng (lưu HĐ giấy) → hệ thống lập thông báo tiền ký HĐ; In mẫu HĐ điền sẵn; Gia hạn / điều chỉnh giá, phí (tải ảnh phụ lục)</t>
  </si>
  <si>
    <t>UC03.03, UC03.04, UC03.05, UC04.02</t>
  </si>
  <si>
    <t>/cn/hop-dong</t>
  </si>
  <si>
    <t>BR-CT-02, BR-CT-03; thanh lý thực hiện ở CN-04.02</t>
  </si>
  <si>
    <t>CN-03.03</t>
  </si>
  <si>
    <t>Nhận phòng</t>
  </si>
  <si>
    <t>Danh sách hợp đồng chờ nhận phòng kèm trạng thái thu tiền ký HĐ và mã VietQR (số tiền, nội dung = mã thông báo) để khách quét tại chỗ. Form: chỉ số điện, nước đầu; tình trạng từng tài sản; ảnh bàn giao; người được cấp tài khoản</t>
  </si>
  <si>
    <t>Ghi nhận đã thu tiền ký HĐ (chuyển khoản hoặc tiền mặt, nhập số tiền) → sinh phiếu thu; Chọn người được cấp tài khoản (người đứng tên hoặc một người ở cùng, SĐT đăng nhập); Xác nhận nhận phòng → phòng Đang thuê, HĐ Hiệu lực, hệ thống tạo tài khoản khách và hiện mật khẩu tạm</t>
  </si>
  <si>
    <t>UC03.06, UC03.07, UC05.07, UC06.04, UC06.05</t>
  </si>
  <si>
    <t>Số HĐ chờ nhận phòng</t>
  </si>
  <si>
    <t>/cn/nhan-phong</t>
  </si>
  <si>
    <t>BR-CT-05: chặn nếu tiền ký HĐ chưa thu đủ, trừ khi chủ nhà ghi lý do. Khách chưa có tài khoản ở bước này nên không tự báo chuyển khoản được; chủ nhà ghi nhận trực tiếp. Phụ huynh đứng tên cho sinh viên: chọn cấp tài khoản cho người trực tiếp thanh toán (P01 – Ngoại lệ)</t>
  </si>
  <si>
    <t>CN-03.04</t>
  </si>
  <si>
    <t>Danh sách tạm trú</t>
  </si>
  <si>
    <t>Danh sách người ở mới (người đứng tên + người ở cùng) theo khoảng ngày</t>
  </si>
  <si>
    <t>Lọc theo ngày; Xuất Excel</t>
  </si>
  <si>
    <t>UC03.08</t>
  </si>
  <si>
    <t>/cn/tam-tru</t>
  </si>
  <si>
    <t>Mỗi lần xuất ghi nhật ký thao tác</t>
  </si>
  <si>
    <t>CN-04</t>
  </si>
  <si>
    <t>Trả phòng &amp; quyết toán</t>
  </si>
  <si>
    <t>logout</t>
  </si>
  <si>
    <t>CN-04.01</t>
  </si>
  <si>
    <t>Trả phòng</t>
  </si>
  <si>
    <t>Danh sách phòng Sắp trả (khách báo hoặc chủ nhà nhập thay), ngày trả dự kiến, cảnh báo trả trước hạn. Form kiểm tra phòng: đối chiếu tài sản với lúc bàn giao, hư hỏng, chi phí, ảnh, chỉ số cuối</t>
  </si>
  <si>
    <t>Nhập báo trả thay khách; Kiểm tra phòng &amp; chốt chỉ số cuối; Xác nhận đã thu hồi chìa khóa</t>
  </si>
  <si>
    <t>UC04.03, UC04.04</t>
  </si>
  <si>
    <t>Yêu cầu trả phòng mới</t>
  </si>
  <si>
    <t>/cn/tra-phong</t>
  </si>
  <si>
    <t>CN-04.02</t>
  </si>
  <si>
    <t>Quyết toán cọc</t>
  </si>
  <si>
    <t>Danh sách quyết toán theo trạng thái (Nháp, Chờ khách phản hồi, Khách không đồng ý, Đã chốt, Hoàn tất). Chi tiết: bảng tính số hoàn / thu thêm, từng khoản trừ kèm ảnh, phản hồi của khách</t>
  </si>
  <si>
    <t>Lập quyết toán; Thêm, sửa, xóa khoản trừ (bắt buộc ghi chú + ảnh; khi khách không đồng ý phải ghi lý do điều chỉnh); Gửi khách / gửi lại; Chốt (ghi lý do khi khách không đồng ý / không phản hồi); Ghi phiếu chi hoàn cọc; Xem, in phiếu chi (PDF); Lập thông báo thu thêm; Thanh lý hợp đồng</t>
  </si>
  <si>
    <t>UC04.05, UC04.06, UC04.07, UC04.08, UC04.09</t>
  </si>
  <si>
    <t>Khách đã phản hồi</t>
  </si>
  <si>
    <t>/cn/quyet-toan</t>
  </si>
  <si>
    <t>BR-TL-01, BR-TL-02, BR-TL-03. Nút Ghi phiếu chi chỉ hiện khi số hoàn &gt; 0; Lập TB thu thêm khi số hoàn &lt; 0</t>
  </si>
  <si>
    <t>CN-05</t>
  </si>
  <si>
    <t>Thu tiền hằng tháng</t>
  </si>
  <si>
    <t>payments</t>
  </si>
  <si>
    <t>CN-05.01</t>
  </si>
  <si>
    <t>Ghi chỉ số</t>
  </si>
  <si>
    <t>Danh sách phòng Đang thuê theo tầng: chỉ số cũ, ô nhập chỉ số mới điện, nước, ảnh công tơ (tùy chọn)</t>
  </si>
  <si>
    <t>Nhập chỉ số; Lưu</t>
  </si>
  <si>
    <t>UC05.02, UC05.03, UC05.01</t>
  </si>
  <si>
    <t>Phòng thiếu chỉ số kỳ này</t>
  </si>
  <si>
    <t>/cn/chi-so</t>
  </si>
  <si>
    <t>UC05.03: báo lỗi ngay khi số mới &lt; số cũ. UC05.01 (Bộ hẹn giờ) đưa việc vào CN-01.01 ngày chốt</t>
  </si>
  <si>
    <t>CN-05.02</t>
  </si>
  <si>
    <t>Thông báo tiền</t>
  </si>
  <si>
    <t>Chọn kỳ; bảng tổng hợp cả tòa (phòng, tổng tiền, trạng thái). Chi tiết: từng dòng khoản, nợ cũ, giảm trừ, mã VietQR</t>
  </si>
  <si>
    <t>Lập thông báo hàng loạt; Thêm phí phát sinh / giảm trừ; Thêm khoản điều chỉnh (âm hoặc dương) để sửa sai thông báo đã thu, ghi rõ mã thông báo gốc; Phát hành hàng loạt; Hủy &amp; lập lại</t>
  </si>
  <si>
    <t>UC05.04, UC05.05, UC05.06, UC05.07, UC05.08</t>
  </si>
  <si>
    <t>/cn/thong-bao-tien</t>
  </si>
  <si>
    <t>BR-HD-02, BR-HD-03, BR-HD-04, BR-HD-05. Nút Hủy chỉ hiện khi thông báo chưa thu; thông báo đã thu thì sửa sai bằng khoản điều chỉnh ở thông báo tháng sau</t>
  </si>
  <si>
    <t>CN-05.03</t>
  </si>
  <si>
    <t>Xác nhận thanh toán</t>
  </si>
  <si>
    <t>Hàng chờ khoản khách báo đã chuyển (kèm ảnh biên lai); danh sách thông báo chưa thu đủ (gồm thông báo hằng tháng, ký HĐ, thu thêm quyết toán); danh sách phòng quá hạn</t>
  </si>
  <si>
    <t>Xác nhận đã nhận (nhập số tiền thực nhận) → sinh phiếu thu; Từ chối (bắt buộc lý do); Ghi nhận thu trực tiếp: chọn thông báo, hình thức Tiền mặt hoặc Chuyển khoản (khách không báo qua hệ thống), số tiền, người nộp → sinh phiếu thu</t>
  </si>
  <si>
    <t>UC06.02, UC06.03, UC06.04, UC06.08</t>
  </si>
  <si>
    <t>Số khoản chờ xác nhận</t>
  </si>
  <si>
    <t>/cn/xac-nhan-thanh-toan</t>
  </si>
  <si>
    <t>Ghi nhận thu trực tiếp dùng khi khách trả tiền mặt, hoặc chuyển khoản mà không bấm báo (vd thu tiền ký HĐ khi khách chưa có tài khoản)</t>
  </si>
  <si>
    <t>CN-05.04</t>
  </si>
  <si>
    <t>Phiếu thu</t>
  </si>
  <si>
    <t>Danh sách phiếu thu đánh số liên tục (số phiếu, ngày, phòng, kỳ, hình thức, tổng tiền)</t>
  </si>
  <si>
    <t>Xem, tải PDF / ảnh, in; Hủy phiếu (bắt buộc lý do)</t>
  </si>
  <si>
    <t>UC06.05, UC06.06, UC06.07</t>
  </si>
  <si>
    <t>/cn/phieu-thu</t>
  </si>
  <si>
    <t>BR-TT-02: không có nút Xóa. UC06.05 sinh tự động từ CN-05.03</t>
  </si>
  <si>
    <t>CN-06</t>
  </si>
  <si>
    <t>Sự cố</t>
  </si>
  <si>
    <t>build</t>
  </si>
  <si>
    <t>CN-06.01</t>
  </si>
  <si>
    <t>Danh sách sự cố</t>
  </si>
  <si>
    <t>Danh sách sự cố theo trạng thái (Mới, Đang xử lý, Đã xử lý, Từ chối, Mở lại). Chi tiết: loại, mô tả, ảnh, lịch sử xử lý</t>
  </si>
  <si>
    <t>Tiếp nhận &amp; hẹn lịch; Cập nhật kết quả (chi phí, ảnh); Từ chối (bắt buộc lý do); Thêm phí phát sinh cho khách</t>
  </si>
  <si>
    <t>UC07.04, UC07.05, UC07.06, UC07.07</t>
  </si>
  <si>
    <t>Sự cố Mới + Mở lại</t>
  </si>
  <si>
    <t>/cn/su-co</t>
  </si>
  <si>
    <t>BR-SC-02, BR-SC-03: phí cho khách chỉ khi ghi rõ nguyên nhân do khách</t>
  </si>
  <si>
    <t>CN-07</t>
  </si>
  <si>
    <t>Thông báo</t>
  </si>
  <si>
    <t>notifications</t>
  </si>
  <si>
    <t>CN-07.01</t>
  </si>
  <si>
    <t>Hộp thông báo</t>
  </si>
  <si>
    <t>Thông báo gửi đến chủ nhà (khách báo CK, sự cố mới, khách mở lại sự cố, khách báo trả, khách phản hồi quyết toán, HĐ sắp hết hạn)</t>
  </si>
  <si>
    <t>Xem; Đánh dấu đã đọc; chạm → mở đối tượng liên quan</t>
  </si>
  <si>
    <t>UC08.02, UC08.03</t>
  </si>
  <si>
    <t>Số chưa đọc</t>
  </si>
  <si>
    <t>/cn/thong-bao</t>
  </si>
  <si>
    <t>Cũng mở từ biểu tượng chuông trên header (SYS-02)</t>
  </si>
  <si>
    <t>CN-07.02</t>
  </si>
  <si>
    <t>Gửi thông báo chung</t>
  </si>
  <si>
    <t>Lịch sử thông báo chung đã gửi; form soạn (tiêu đề, nội dung)</t>
  </si>
  <si>
    <t>Gửi cho toàn bộ khách đang thuê</t>
  </si>
  <si>
    <t>UC08.01</t>
  </si>
  <si>
    <t>/cn/thong-bao-chung</t>
  </si>
  <si>
    <t>CN-08</t>
  </si>
  <si>
    <t>Báo cáo</t>
  </si>
  <si>
    <t>bar_chart</t>
  </si>
  <si>
    <t>CN-08.01</t>
  </si>
  <si>
    <t>Tổng quan vận hành</t>
  </si>
  <si>
    <t>Thẻ KPI: phòng theo trạng thái, tỷ lệ lấp đầy, tỷ lệ thu tháng, công nợ quá hạn, cọc đang giữ, sự cố đang mở; chạm thẻ → báo cáo chi tiết</t>
  </si>
  <si>
    <t>Chọn tháng</t>
  </si>
  <si>
    <t>UC08.05</t>
  </si>
  <si>
    <t>/cn/bao-cao</t>
  </si>
  <si>
    <t>CN-08.02</t>
  </si>
  <si>
    <t>Phòng &amp; tỷ lệ lấp đầy</t>
  </si>
  <si>
    <t>Số phòng theo trạng thái (thời gian thực); tỷ lệ lấp đầy cuối tháng</t>
  </si>
  <si>
    <t>UC08.06</t>
  </si>
  <si>
    <t>/cn/bao-cao/lap-day</t>
  </si>
  <si>
    <t>CN-08.03</t>
  </si>
  <si>
    <t>Doanh thu, tỷ lệ thu &amp; công nợ</t>
  </si>
  <si>
    <t>Doanh thu theo tháng, theo khoản; tỷ lệ đã thu / phải thu; công nợ quá hạn theo phòng và số ngày quá hạn</t>
  </si>
  <si>
    <t>Chọn tháng; chạm phòng quá hạn → thông báo tiền</t>
  </si>
  <si>
    <t>UC08.07</t>
  </si>
  <si>
    <t>/cn/bao-cao/doanh-thu</t>
  </si>
  <si>
    <t>CN-08.04</t>
  </si>
  <si>
    <t>Cọc &amp; HĐ sắp hết hạn</t>
  </si>
  <si>
    <t>Tổng cọc chưa hoàn theo phòng; danh sách HĐ hết hạn trong 30 ngày tới</t>
  </si>
  <si>
    <t>Chạm HĐ → Hợp đồng (CN-03.02)</t>
  </si>
  <si>
    <t>UC08.08</t>
  </si>
  <si>
    <t>/cn/bao-cao/coc-hop-dong</t>
  </si>
  <si>
    <t>CN-08.05</t>
  </si>
  <si>
    <t>Sự cố đang mở</t>
  </si>
  <si>
    <t>Số sự cố Mới, Đang xử lý, Mở lại; danh sách chi tiết</t>
  </si>
  <si>
    <t>Chạm sự cố → CN-06.01</t>
  </si>
  <si>
    <t>UC08.09</t>
  </si>
  <si>
    <t>/cn/bao-cao/su-co</t>
  </si>
  <si>
    <t>CN-09</t>
  </si>
  <si>
    <t>Cài đặt</t>
  </si>
  <si>
    <t>settings</t>
  </si>
  <si>
    <t>CN-09.01</t>
  </si>
  <si>
    <t>Thông tin tòa</t>
  </si>
  <si>
    <t>Tên, địa chỉ, nội quy, ngày chốt chỉ số, hạn thanh toán</t>
  </si>
  <si>
    <t>Sửa; Lưu</t>
  </si>
  <si>
    <t>UC01.05</t>
  </si>
  <si>
    <t>/cn/cai-dat/toa-nha</t>
  </si>
  <si>
    <t>Ngày chốt / hạn mới áp dụng từ kỳ lập thông báo kế tiếp</t>
  </si>
  <si>
    <t>CN-09.02</t>
  </si>
  <si>
    <t>Tài khoản nhận tiền &amp; phiếu thu</t>
  </si>
  <si>
    <t>Ngân hàng, số tài khoản, chủ tài khoản (sinh VietQR); tên chủ nhà, địa chỉ, SĐT in trên phiếu thu; xem trước mã QR mẫu</t>
  </si>
  <si>
    <t>UC01.06</t>
  </si>
  <si>
    <t>/cn/cai-dat/tai-khoan-nhan-tien</t>
  </si>
  <si>
    <t>Ghi nhật ký thao tác</t>
  </si>
  <si>
    <t>CN-09.03</t>
  </si>
  <si>
    <t>Tài khoản khách</t>
  </si>
  <si>
    <t>Danh sách tài khoản khách theo phòng / HĐ hiệu lực (SĐT, trạng thái hoạt động / khóa tạm / đã khóa); đánh dấu HĐ hiệu lực chưa có tài khoản</t>
  </si>
  <si>
    <t>Tạo tài khoản cho HĐ hiệu lực chưa có tài khoản (chọn người được cấp, hiện mật khẩu tạm); Khóa / mở khóa; Đặt lại mật khẩu (hiện mật khẩu tạm)</t>
  </si>
  <si>
    <t>UC01.03, UC01.04</t>
  </si>
  <si>
    <t>/cn/cai-dat/tai-khoan-khach</t>
  </si>
  <si>
    <t>Tạo mặc định qua CN-03.03 (UC03.07 dùng lại UC01.03). Nút Tạo ở đây dành cho HĐ nhập đầu kỳ (CN-09.04) hoặc trường hợp tạo bị bỏ sót; BR-CT-01: SĐT duy nhất, 1 tài khoản / phòng</t>
  </si>
  <si>
    <t>CN-09.04</t>
  </si>
  <si>
    <t>Nhập dữ liệu đầu kỳ</t>
  </si>
  <si>
    <t>Màn hình theo bước: khách đang ở (kèm người ở cùng) → hợp đồng hiện hành (kèm phí dịch vụ áp dụng) → cọc đang giữ → chỉ số gần nhất → nợ tồn → cấp tài khoản khách</t>
  </si>
  <si>
    <t>Nhập tay / Lưu từng bước; Hoàn tất khởi tạo → hệ thống tạo tài khoản khách cho từng HĐ và hiện danh sách mật khẩu tạm</t>
  </si>
  <si>
    <t>UC01.08, UC01.03</t>
  </si>
  <si>
    <t>/cn/cai-dat/khoi-tao</t>
  </si>
  <si>
    <t>Chỉ dùng khi bàn giao tòa đang vận hành; đề xuất ẩn sau khi bấm Hoàn tất khởi tạo. HĐ nhập đầu kỳ không qua Nhận phòng nên tài khoản khách được tạo ở bước cuối</t>
  </si>
  <si>
    <t>CN-09.05</t>
  </si>
  <si>
    <t>Nhật ký thao tác</t>
  </si>
  <si>
    <t>Tra cứu nhật ký (người, thời điểm, đối tượng, nội dung) cho hợp đồng, thông báo tiền, phiếu thu, chỉ số, xuất tạm trú</t>
  </si>
  <si>
    <t>Lọc theo đối tượng, người thực hiện, khoảng ngày; xem chi tiết giá trị trước / sau</t>
  </si>
  <si>
    <t>UC01.09</t>
  </si>
  <si>
    <t>/cn/cai-dat/nhat-ky</t>
  </si>
  <si>
    <t>Chỉ xem, không sửa / xóa nhật ký. Bổ sung ver1.1</t>
  </si>
  <si>
    <t>CN-10</t>
  </si>
  <si>
    <t>Tài khoản của tôi</t>
  </si>
  <si>
    <t>person</t>
  </si>
  <si>
    <t>CN-10.01</t>
  </si>
  <si>
    <t>Đổi mật khẩu</t>
  </si>
  <si>
    <t>Mật khẩu cũ, mật khẩu mới, xác nhận</t>
  </si>
  <si>
    <t>Lưu</t>
  </si>
  <si>
    <t>UC01.02</t>
  </si>
  <si>
    <t>/doi-mat-khau</t>
  </si>
  <si>
    <t>CN-10.02</t>
  </si>
  <si>
    <t>Đăng xuất</t>
  </si>
  <si>
    <t>—</t>
  </si>
  <si>
    <t>Kết thúc phiên</t>
  </si>
  <si>
    <t>UC01.01</t>
  </si>
  <si>
    <t>/dang-xuat</t>
  </si>
  <si>
    <t>Kết thúc phiên đăng nhập của UC01.01</t>
  </si>
  <si>
    <t>KT-01</t>
  </si>
  <si>
    <t>Phòng của tôi</t>
  </si>
  <si>
    <t>home</t>
  </si>
  <si>
    <t>KT-01.01</t>
  </si>
  <si>
    <t>Trang chủ</t>
  </si>
  <si>
    <t>Màn hình chính sau đăng nhập: thông tin phòng, bảng giá áp dụng (giá thuê, đơn giá điện nước, phí dịch vụ), thẻ tóm tắt thông báo tiền chưa thanh toán, sự cố đang mở, thông tin liên hệ chủ nhà (tên, SĐT)</t>
  </si>
  <si>
    <t>Chạm thẻ → màn hình tương ứng; Chạm SĐT chủ nhà → gọi điện</t>
  </si>
  <si>
    <t>UC02.06</t>
  </si>
  <si>
    <t>/kt/trang-chu</t>
  </si>
  <si>
    <t>Mục mặc định khi mở app. Hệ thống không có nhắn tin; khách liên hệ chủ nhà trực tiếp (P07)</t>
  </si>
  <si>
    <t>KT-01.02</t>
  </si>
  <si>
    <t>Nội quy tòa</t>
  </si>
  <si>
    <t>Nội dung nội quy tòa</t>
  </si>
  <si>
    <t>Xem</t>
  </si>
  <si>
    <t>UC01.07</t>
  </si>
  <si>
    <t>/kt/noi-quy</t>
  </si>
  <si>
    <t>KT-02</t>
  </si>
  <si>
    <t>Tiền phòng</t>
  </si>
  <si>
    <t>KT-02.01</t>
  </si>
  <si>
    <t>Danh sách thông báo theo kỳ (đã phát hành trở đi), trạng thái, hạn thanh toán, nhắc hạn / quá hạn. Chi tiết: từng khoản, mã VietQR có sẵn số tiền và nội dung</t>
  </si>
  <si>
    <t>Tôi đã chuyển khoản (đính kèm ảnh biên lai, tùy chọn)</t>
  </si>
  <si>
    <t>UC05.09, UC06.01, UC06.08</t>
  </si>
  <si>
    <t>Số thông báo chưa thanh toán</t>
  </si>
  <si>
    <t>/kt/thong-bao-tien</t>
  </si>
  <si>
    <t>Nút ẩn khi thông báo đang Chờ xác nhận hoặc Đã thu đủ. Không thấy thông báo Nháp</t>
  </si>
  <si>
    <t>KT-02.02</t>
  </si>
  <si>
    <t>Danh sách phiếu thu của phòng</t>
  </si>
  <si>
    <t>Xem; Tải PDF / ảnh</t>
  </si>
  <si>
    <t>UC06.07</t>
  </si>
  <si>
    <t>/kt/phieu-thu</t>
  </si>
  <si>
    <t>KT-03</t>
  </si>
  <si>
    <t>Hợp đồng &amp; trả phòng</t>
  </si>
  <si>
    <t>KT-03.01</t>
  </si>
  <si>
    <t>Hồ sơ &amp; hợp đồng</t>
  </si>
  <si>
    <t>Hồ sơ phòng (người đứng tên, người ở cùng — không hiện ảnh CCCD); điều khoản hợp đồng, ảnh HĐ và phụ lục, ngày hết hạn; nhắc HĐ sắp hết hạn</t>
  </si>
  <si>
    <t>UC03.09, UC04.01</t>
  </si>
  <si>
    <t>/kt/hop-dong</t>
  </si>
  <si>
    <t>KT-03.02</t>
  </si>
  <si>
    <t>Trước khi báo: form báo trả (ngày dự kiến, cảnh báo nếu trước hạn HĐ). Sau khi chủ nhà gửi quyết toán: bảng quyết toán chi tiết từng khoản và ảnh bằng chứng</t>
  </si>
  <si>
    <t>Báo trả phòng; Đồng ý quyết toán; Không đồng ý (bắt buộc lý do)</t>
  </si>
  <si>
    <t>UC04.03, UC04.10, UC04.11</t>
  </si>
  <si>
    <t>Quyết toán chờ phản hồi</t>
  </si>
  <si>
    <t>/kt/tra-phong</t>
  </si>
  <si>
    <t>Nút phản hồi chỉ hiện khi quyết toán ở trạng thái Chờ khách phản hồi</t>
  </si>
  <si>
    <t>KT-04</t>
  </si>
  <si>
    <t>KT-04.01</t>
  </si>
  <si>
    <t>Sự cố của tôi</t>
  </si>
  <si>
    <t>Danh sách sự cố của phòng, trạng thái, lịch hẹn, lịch sử xử lý</t>
  </si>
  <si>
    <t>Báo sự cố (loại, mô tả, ảnh); Mở lại (khi Đã xử lý mà chưa khắc phục)</t>
  </si>
  <si>
    <t>UC07.01, UC07.02, UC07.03</t>
  </si>
  <si>
    <t>/kt/su-co</t>
  </si>
  <si>
    <t>BR-SC-01: chỉ sự cố của phòng mình</t>
  </si>
  <si>
    <t>KT-05</t>
  </si>
  <si>
    <t>KT-05.01</t>
  </si>
  <si>
    <t>Thông báo tiền mới, nhắc hạn, từ chối báo CK, xác nhận thu, sự cố đổi trạng thái, quyết toán đã gửi, HĐ sắp hết hạn, thông báo chung</t>
  </si>
  <si>
    <t>Xem; Đánh dấu đã đọc</t>
  </si>
  <si>
    <t>/kt/thong-bao</t>
  </si>
  <si>
    <t>Cũng mở từ chuông trên header (SYS-02)</t>
  </si>
  <si>
    <t>KT-06</t>
  </si>
  <si>
    <t>KT-06.01</t>
  </si>
  <si>
    <t>KT-06.02</t>
  </si>
  <si>
    <t>Ngoài sidebar</t>
  </si>
  <si>
    <t>SYS-01</t>
  </si>
  <si>
    <t>Màn hình đăng nhập</t>
  </si>
  <si>
    <t>SĐT + mật khẩu; lần đăng nhập đầu bắt buộc đổi mật khẩu tạm</t>
  </si>
  <si>
    <t>Đăng nhập; điều hướng theo vai trò (CN → CN-01.01, KT → KT-01.01)</t>
  </si>
  <si>
    <t>UC01.01, UC01.02</t>
  </si>
  <si>
    <t>/dang-nhap</t>
  </si>
  <si>
    <t>Khóa tạm sau 5 lần nhập sai; quên mật khẩu → liên hệ chủ nhà</t>
  </si>
  <si>
    <t>SYS-02</t>
  </si>
  <si>
    <t>Chuông thông báo (header)</t>
  </si>
  <si>
    <t>Biểu tượng chuông + số chưa đọc trên header mọi màn hình</t>
  </si>
  <si>
    <t>Chạm → Hộp thông báo (CN-07.01 / KT-05.01)</t>
  </si>
  <si>
    <t>UC08.02</t>
  </si>
  <si>
    <t>Thành phần chung, cả hai vai trò</t>
  </si>
  <si>
    <t>Tổng hợp</t>
  </si>
  <si>
    <t>Chủ nhà – chức năng cha</t>
  </si>
  <si>
    <t>Chủ nhà – chức năng chi tiết</t>
  </si>
  <si>
    <t>Khách thuê – chức năng cha</t>
  </si>
  <si>
    <t>Khách thuê – chức năng chi tiết</t>
  </si>
  <si>
    <t>Mục chi tiết chưa gắn UC</t>
  </si>
  <si>
    <t>TaiKhoan.dangNhap</t>
  </si>
  <si>
    <t>TaiKhoan.doiMatKhau</t>
  </si>
  <si>
    <t>UC01.03</t>
  </si>
  <si>
    <t>UC01.04</t>
  </si>
  <si>
    <t>Đặt lại mật khẩu cho khách</t>
  </si>
  <si>
    <t>TaiKhoan.datLaiMatKhau</t>
  </si>
  <si>
    <t>ToaNha.capNhatThongTin</t>
  </si>
  <si>
    <t>ToaNha.capNhatTaiKhoanNhanTien</t>
  </si>
  <si>
    <t>UC01.08</t>
  </si>
  <si>
    <t>DichVuKhoiTao.nhapDuLieuDangVanHanh</t>
  </si>
  <si>
    <t>NhatKyThaoTac.traCuu</t>
  </si>
  <si>
    <t>UC02.01</t>
  </si>
  <si>
    <t>UC02.02</t>
  </si>
  <si>
    <t>TaiSan.capNhatTinhTrang</t>
  </si>
  <si>
    <t>BangGia.doiDonGia</t>
  </si>
  <si>
    <t>Phong.laSapTra</t>
  </si>
  <si>
    <t>UC03.01</t>
  </si>
  <si>
    <t>UC03.02</t>
  </si>
  <si>
    <t>UC03.03</t>
  </si>
  <si>
    <t>Lưu hợp đồng giấy (điều khoản, ảnh HĐ)</t>
  </si>
  <si>
    <t>UC03.04</t>
  </si>
  <si>
    <t>In mẫu HĐ điền sẵn</t>
  </si>
  <si>
    <t>HopDong.inMauHopDong</t>
  </si>
  <si>
    <t>UC03.06</t>
  </si>
  <si>
    <t>Xuất danh sách tạm trú (Excel)</t>
  </si>
  <si>
    <t>HopDong.xuatDanhSachTamTru</t>
  </si>
  <si>
    <t>UC03.09</t>
  </si>
  <si>
    <t>UC04.01</t>
  </si>
  <si>
    <t>Bộ hẹn giờ</t>
  </si>
  <si>
    <t>Tự động</t>
  </si>
  <si>
    <t>BoHenGio.chayHangNgay</t>
  </si>
  <si>
    <t>UC04.02</t>
  </si>
  <si>
    <t>UC04.03</t>
  </si>
  <si>
    <t>HopDong.baoTraPhong</t>
  </si>
  <si>
    <t>UC04.04</t>
  </si>
  <si>
    <t>UC04.05</t>
  </si>
  <si>
    <t>UC04.07</t>
  </si>
  <si>
    <t>UC04.08</t>
  </si>
  <si>
    <t>Lập thông báo thu thêm</t>
  </si>
  <si>
    <t>QuyetToan.lapThongBaoThuThem</t>
  </si>
  <si>
    <t>UC04.09</t>
  </si>
  <si>
    <t>Thanh lý hợp đồng</t>
  </si>
  <si>
    <t>UC04.10</t>
  </si>
  <si>
    <t>Xem bảng quyết toán</t>
  </si>
  <si>
    <t>QuyetToan.guiKhach</t>
  </si>
  <si>
    <t>UC04.11</t>
  </si>
  <si>
    <t>QuyetToan.khachPhanHoi</t>
  </si>
  <si>
    <t>UC05.01</t>
  </si>
  <si>
    <t>Nhắc ghi chỉ số vào ngày chốt</t>
  </si>
  <si>
    <t>Ghi chỉ số điện, nước</t>
  </si>
  <si>
    <t>UC05.04</t>
  </si>
  <si>
    <t>Lập thông báo tiền hàng loạt</t>
  </si>
  <si>
    <t>UC05.05</t>
  </si>
  <si>
    <t>UC05.08</t>
  </si>
  <si>
    <t>ThongBaoTien.huy</t>
  </si>
  <si>
    <t>UC05.09</t>
  </si>
  <si>
    <t>UC06.01</t>
  </si>
  <si>
    <t>Báo đã chuyển khoản (kèm biên lai)</t>
  </si>
  <si>
    <t>BaoThanhToan.guiBao</t>
  </si>
  <si>
    <t>UC06.03</t>
  </si>
  <si>
    <t>Từ chối báo chuyển khoản (ghi lý do)</t>
  </si>
  <si>
    <t>BaoThanhToan.tuChoi</t>
  </si>
  <si>
    <t>CN-05.03, CN-03.03</t>
  </si>
  <si>
    <t>UC06.06</t>
  </si>
  <si>
    <t>Hủy phiếu thu (ghi lý do)</t>
  </si>
  <si>
    <t>PhieuThu.xuatPDF</t>
  </si>
  <si>
    <t>UC06.08</t>
  </si>
  <si>
    <t>UC07.01</t>
  </si>
  <si>
    <t>Báo sự cố (loại, mô tả, ảnh)</t>
  </si>
  <si>
    <t>SuCo.baoSuCo</t>
  </si>
  <si>
    <t>UC07.02</t>
  </si>
  <si>
    <t>LichSuSuCo.ghiNhan</t>
  </si>
  <si>
    <t>UC07.03</t>
  </si>
  <si>
    <t>Mở lại sự cố</t>
  </si>
  <si>
    <t>SuCo.moLai</t>
  </si>
  <si>
    <t>UC07.04</t>
  </si>
  <si>
    <t>Tiếp nhận &amp; hẹn lịch xử lý</t>
  </si>
  <si>
    <t>SuCo.tiepNhan</t>
  </si>
  <si>
    <t>UC07.05</t>
  </si>
  <si>
    <t>SuCo.hoanThanh</t>
  </si>
  <si>
    <t>UC07.06</t>
  </si>
  <si>
    <t>Từ chối sự cố (ghi lý do)</t>
  </si>
  <si>
    <t>SuCo.tuChoi</t>
  </si>
  <si>
    <t>UC07.07</t>
  </si>
  <si>
    <t>ThongBao.guiToanBoKhach</t>
  </si>
  <si>
    <t>UC08.03</t>
  </si>
  <si>
    <t>Gửi thông báo tự động theo sự kiện</t>
  </si>
  <si>
    <t>ThongBao.guiDen</t>
  </si>
  <si>
    <t>UC08.04</t>
  </si>
  <si>
    <t>Xem danh sách việc cần làm</t>
  </si>
  <si>
    <t>DichVuViecCanLam.layDanhSach</t>
  </si>
  <si>
    <t>DichVuBaoCao.suCoDangMo</t>
  </si>
  <si>
    <t>3. PHÂN QUYỀN THEO CHỨC NĂNG</t>
  </si>
  <si>
    <t>Mức thao tác (nút / API). Có = toàn tòa · Phòng mình = chỉ dữ liệu phòng / tài khoản đang đăng nhập · Nhận = chỉ nhận thông báo / kết quả · Tự động = Bộ hẹn giờ chạy với quyền hệ thống · — = không có quyền (ẩn nút, API trả 403).</t>
  </si>
  <si>
    <t>Tổng hợp số quyền theo vai trò</t>
  </si>
  <si>
    <t>Mức quyền</t>
  </si>
  <si>
    <t>Có</t>
  </si>
  <si>
    <t>Phòng mình</t>
  </si>
  <si>
    <t>Nhận</t>
  </si>
  <si>
    <t>Mã quyền</t>
  </si>
  <si>
    <t>Thao tác / quyền</t>
  </si>
  <si>
    <t>Phương thức lớp</t>
  </si>
  <si>
    <t>Quy tắc / kiểm soát</t>
  </si>
  <si>
    <t>Ghi nhật ký</t>
  </si>
  <si>
    <t>AUTH.DANG_NHAP</t>
  </si>
  <si>
    <t>Chung</t>
  </si>
  <si>
    <t>Đăng nhập, đăng xuất</t>
  </si>
  <si>
    <t>Khóa tạm sau 5 lần sai; mật khẩu lưu dạng băm</t>
  </si>
  <si>
    <t>AUTH.DOI_MK</t>
  </si>
  <si>
    <t>CN-10.01, KT-06.01</t>
  </si>
  <si>
    <t>Đổi mật khẩu của chính mình</t>
  </si>
  <si>
    <t>Bắt buộc ở lần đăng nhập đầu</t>
  </si>
  <si>
    <t>TOA.XEM</t>
  </si>
  <si>
    <t>Xem thông tin tòa</t>
  </si>
  <si>
    <t>TOA.SUA</t>
  </si>
  <si>
    <t>Sửa tên, địa chỉ, nội quy, ngày chốt, hạn thanh toán</t>
  </si>
  <si>
    <t>Ngày chốt 1–31, hạn TT 1–28</t>
  </si>
  <si>
    <t>TOA.NOI_QUY</t>
  </si>
  <si>
    <t>Xem nội quy</t>
  </si>
  <si>
    <t>TOA.TK_NHAN_TIEN</t>
  </si>
  <si>
    <t>Sửa tài khoản nhận tiền, thông tin in phiếu thu</t>
  </si>
  <si>
    <t>BR-TT-01</t>
  </si>
  <si>
    <t>Y</t>
  </si>
  <si>
    <t>TK_KHACH.XEM</t>
  </si>
  <si>
    <t>Xem danh sách tài khoản khách</t>
  </si>
  <si>
    <t>TK_KHACH.TAO</t>
  </si>
  <si>
    <t>Khách thuê &amp; hợp đồng / Cài đặt</t>
  </si>
  <si>
    <t>Nhận phòng; Tài khoản khách; Nhập dữ liệu đầu kỳ</t>
  </si>
  <si>
    <t>CN-03.03, CN-09.03, CN-09.04</t>
  </si>
  <si>
    <t>Tạo tài khoản khách (khi nhận phòng, khi hoàn tất khởi tạo, hoặc cho HĐ hiệu lực chưa có tài khoản); chọn người được cấp</t>
  </si>
  <si>
    <t>UC01.03, UC03.07</t>
  </si>
  <si>
    <t>TaiKhoan.taoTaiKhoanKhach, DichVuKhoiTao.nhapDuLieuDangVanHanh</t>
  </si>
  <si>
    <t>BR-CT-01: SĐT duy nhất, 1 tài khoản / phòng; người được cấp là người đứng tên hoặc người ở cùng của HĐ</t>
  </si>
  <si>
    <t>TK_KHACH.KHOA</t>
  </si>
  <si>
    <t>Khóa / mở khóa tài khoản khách</t>
  </si>
  <si>
    <t>TaiKhoan.khoa, TaiKhoan.moKhoa</t>
  </si>
  <si>
    <t>Tự khóa khi thanh lý HĐ</t>
  </si>
  <si>
    <t>TK_KHACH.DAT_LAI_MK</t>
  </si>
  <si>
    <t>Chủ nhà quên mật khẩu → người cài đặt đặt lại</t>
  </si>
  <si>
    <t>KHOI_TAO.NHAP</t>
  </si>
  <si>
    <t>Nhập khách, HĐ, cọc, chỉ số, nợ tồn đầu kỳ</t>
  </si>
  <si>
    <t>Nợ tồn vào mục Nợ cũ của TB tiền đầu tiên</t>
  </si>
  <si>
    <t>NHAT_KY.XEM</t>
  </si>
  <si>
    <t>Tra cứu nhật ký thao tác (chỉ xem)</t>
  </si>
  <si>
    <t>Không có quyền sửa / xóa nhật ký cho bất kỳ vai trò nào</t>
  </si>
  <si>
    <t>PHONG.XEM</t>
  </si>
  <si>
    <t>Danh sách phòng / Sơ đồ tòa</t>
  </si>
  <si>
    <t>CN-02.01, CN-01.02</t>
  </si>
  <si>
    <t>Xem danh sách, chi tiết phòng, sơ đồ tòa</t>
  </si>
  <si>
    <t>UC02.01, UC02.05</t>
  </si>
  <si>
    <t>PHONG.THEM_SUA</t>
  </si>
  <si>
    <t>Thêm phòng, sửa thông tin (gồm có / không có công tơ nước riêng) và giá niêm yết</t>
  </si>
  <si>
    <t>Phong.capNhatGiaNiemYet</t>
  </si>
  <si>
    <t>BR-DM-02: không đổi giá HĐ đang hiệu lực</t>
  </si>
  <si>
    <t>PHONG.TRANG_THAI</t>
  </si>
  <si>
    <t>Ngừng khai thác / khai thác lại</t>
  </si>
  <si>
    <t>Phong.chuyenTrangThai</t>
  </si>
  <si>
    <t>BR-DM-04: chủ nhà chỉ chuyển Trống ↔ Ngừng khai thác; không chuyển Ngừng khai thác khi còn HĐ chưa thanh lý</t>
  </si>
  <si>
    <t>PHONG.TAI_SAN</t>
  </si>
  <si>
    <t>Danh sách phòng (tab Tài sản)</t>
  </si>
  <si>
    <t>Khai báo, cập nhật tài sản trong phòng</t>
  </si>
  <si>
    <t>PHONG.XEM_CUA_MINH</t>
  </si>
  <si>
    <t>Xem thông tin phòng, bảng giá áp dụng và thông tin liên hệ chủ nhà</t>
  </si>
  <si>
    <t>Lọc theo phòng đang thuê ở tầng dữ liệu</t>
  </si>
  <si>
    <t>BANG_GIA.DIEN_NUOC</t>
  </si>
  <si>
    <t>Xem, đổi đơn giá điện, nước theo công tơ, nước theo người</t>
  </si>
  <si>
    <t>BR-DM-01</t>
  </si>
  <si>
    <t>BANG_GIA.PHI_DV</t>
  </si>
  <si>
    <t>Xem, thêm, sửa, ngừng phí dịch vụ</t>
  </si>
  <si>
    <t>KHACH.XEM</t>
  </si>
  <si>
    <t>Xem danh sách, hồ sơ khách, lịch sử thuê</t>
  </si>
  <si>
    <t>KhachThue.timTheoSDT, KhachThue.layLichSuThue</t>
  </si>
  <si>
    <t>Hồ sơ giữ lại sau trả phòng</t>
  </si>
  <si>
    <t>KHACH.TAO_SUA</t>
  </si>
  <si>
    <t>Tạo, cập nhật hồ sơ khách</t>
  </si>
  <si>
    <t>KhachThue.capNhatHoSo</t>
  </si>
  <si>
    <t>SĐT đã có → gọi lại hồ sơ cũ</t>
  </si>
  <si>
    <t>KHACH.XEM_CCCD</t>
  </si>
  <si>
    <t>Xem ảnh CCCD</t>
  </si>
  <si>
    <t>BR-CT-06: thư mục không công khai, chỉ chủ nhà</t>
  </si>
  <si>
    <t>NGUOI_O.QUAN_LY</t>
  </si>
  <si>
    <t>Thêm, sửa, ghi nhận rời đi người ở cùng</t>
  </si>
  <si>
    <t>HopDong.themNguoiO, NguoiO.capNhatThongTin, NguoiO.roiDi</t>
  </si>
  <si>
    <t>BR-CT-04: không vượt số người tối đa</t>
  </si>
  <si>
    <t>HD.XEM</t>
  </si>
  <si>
    <t>Xem danh sách, chi tiết, lịch sử HĐ</t>
  </si>
  <si>
    <t>HD.TAO</t>
  </si>
  <si>
    <t>HopDong.taoMoi, HopDong.kiemTraThoiHan</t>
  </si>
  <si>
    <t>BR-CT-02, BR-CT-03</t>
  </si>
  <si>
    <t>HD.IN_MAU</t>
  </si>
  <si>
    <t>HD.TB_KY_HD</t>
  </si>
  <si>
    <t>Hợp đồng; Nhận phòng</t>
  </si>
  <si>
    <t>CN-03.02, CN-03.03</t>
  </si>
  <si>
    <t>Xem, rà soát thông báo tiền ký HĐ; hiện mã VietQR cho khách quét tại chỗ</t>
  </si>
  <si>
    <t>UC03.05, UC05.07</t>
  </si>
  <si>
    <t>HopDong.lapThongBaoKyHopDong, HopDong.tinhTienPhong, ThongBaoTien.taoMaVietQR</t>
  </si>
  <si>
    <t>Hệ thống tự lập khi lưu HĐ</t>
  </si>
  <si>
    <t>HD.NHAN_PHONG</t>
  </si>
  <si>
    <t>Xác nhận nhận phòng (chỉ số đầu, tài sản, ảnh)</t>
  </si>
  <si>
    <t>HopDong.xacNhanNhanPhong, ChiSo.ghiChiSo, BanGiaoTaiSan.ghiNhanTinhTrang</t>
  </si>
  <si>
    <t>BR-CT-05</t>
  </si>
  <si>
    <t>HD.TAM_TRU</t>
  </si>
  <si>
    <t>HD.XEM_CUA_MINH</t>
  </si>
  <si>
    <t>Xem hồ sơ phòng và hợp đồng của mình</t>
  </si>
  <si>
    <t>Khách không xem ảnh CCCD</t>
  </si>
  <si>
    <t>HD.NHAC_HET_HAN</t>
  </si>
  <si>
    <t>Tổng quan / Hợp đồng</t>
  </si>
  <si>
    <t>Việc cần làm; Hồ sơ &amp; hợp đồng</t>
  </si>
  <si>
    <t>CN-01.01, KT-03.01</t>
  </si>
  <si>
    <t>Nhắc HĐ sắp hết hạn 30 ngày</t>
  </si>
  <si>
    <t>Chạy hằng ngày</t>
  </si>
  <si>
    <t>HD.GIA_HAN</t>
  </si>
  <si>
    <t>Gia hạn, điều chỉnh giá / phí, tải ảnh phụ lục</t>
  </si>
  <si>
    <t>HopDong.giaHan, HopDong.dieuChinhGia, LichSuHopDong.ghiNhan</t>
  </si>
  <si>
    <t>Gia hạn tối thiểu 3 tháng; điều chỉnh giá áp dụng từ ngày 1</t>
  </si>
  <si>
    <t>TRA.BAO_TRA</t>
  </si>
  <si>
    <t>Trả phòng (CN) / Trả phòng &amp; quyết toán (KT)</t>
  </si>
  <si>
    <t>CN-04.01, KT-03.02</t>
  </si>
  <si>
    <t>Báo trả phòng (chủ nhà nhập thay)</t>
  </si>
  <si>
    <t>Cảnh báo nếu trả trước hạn HĐ (BR-TL-01)</t>
  </si>
  <si>
    <t>TRA.KIEM_TRA</t>
  </si>
  <si>
    <t>Kiểm tra phòng, chốt chỉ số cuối, xác nhận thu hồi chìa khóa</t>
  </si>
  <si>
    <t>BanGiaoTaiSan.ghiNhanTinhTrang, BanGiaoTaiSan.soSanhLucNhanPhong, ChiSo.ghiChiSo, HopDong.xacNhanThuHoiChiaKhoa</t>
  </si>
  <si>
    <t>QT.LAP</t>
  </si>
  <si>
    <t>Lập quyết toán, thêm / sửa / xóa khoản trừ</t>
  </si>
  <si>
    <t>UC04.05, UC04.06</t>
  </si>
  <si>
    <t>QuyetToan.tinhQuyetToan, QuyetToan.themKhoanTru, QuyetToan.suaKhoanTru, QuyetToan.xoaKhoanTru</t>
  </si>
  <si>
    <t>BR-TL-02: mỗi khoản trừ có ghi chú + ảnh; BR-TL-03: sửa sau khi khách không đồng ý phải ghi lý do điều chỉnh</t>
  </si>
  <si>
    <t>QT.GUI</t>
  </si>
  <si>
    <t>Gửi quyết toán cho khách</t>
  </si>
  <si>
    <t>Khách nhận thông báo</t>
  </si>
  <si>
    <t>QT.XEM</t>
  </si>
  <si>
    <t>Quyết toán cọc / Trả phòng &amp; quyết toán</t>
  </si>
  <si>
    <t>CN-04.02, KT-03.02</t>
  </si>
  <si>
    <t>Khách chỉ thấy khi đã gửi (không thấy Nháp)</t>
  </si>
  <si>
    <t>QT.PHAN_HOI</t>
  </si>
  <si>
    <t>Đồng ý / không đồng ý quyết toán (kèm lý do)</t>
  </si>
  <si>
    <t>Chỉ khi trạng thái Chờ khách phản hồi</t>
  </si>
  <si>
    <t>QT.CHOT</t>
  </si>
  <si>
    <t>Chốt quyết toán</t>
  </si>
  <si>
    <t>QuyetToan.chotQuyetToan</t>
  </si>
  <si>
    <t>BR-TL-03: ghi lý do khi khách không đồng ý / không phản hồi</t>
  </si>
  <si>
    <t>QT.PHIEU_CHI</t>
  </si>
  <si>
    <t>Ghi phiếu chi hoàn cọc; xem, in phiếu chi (PDF)</t>
  </si>
  <si>
    <t>QuyetToan.lapPhieuChi, PhieuChi.xuatPDF</t>
  </si>
  <si>
    <t>Chỉ khi số hoàn &gt; 0</t>
  </si>
  <si>
    <t>QT.THU_THEM</t>
  </si>
  <si>
    <t>Chỉ khi số hoàn &lt; 0</t>
  </si>
  <si>
    <t>HD.THANH_LY</t>
  </si>
  <si>
    <t>HopDong.thanhLy, TaiKhoan.khoa</t>
  </si>
  <si>
    <t>HĐ Đã thanh lý, phòng Trống, khóa TK khách</t>
  </si>
  <si>
    <t>CS.NHAC</t>
  </si>
  <si>
    <t>CS.GHI</t>
  </si>
  <si>
    <t>UC05.02, UC05.03</t>
  </si>
  <si>
    <t>ChiSo.ghiChiSo, ChiSo.kiemTraHopLe</t>
  </si>
  <si>
    <t>Chặn số mới &lt; số cũ</t>
  </si>
  <si>
    <t>TBT.XEM</t>
  </si>
  <si>
    <t>Xem bảng tổng hợp, chi tiết thông báo</t>
  </si>
  <si>
    <t>DichVuThongBaoTien.bangTongHop</t>
  </si>
  <si>
    <t>TBT.LAP</t>
  </si>
  <si>
    <t>DichVuThongBaoTien.lapThongBaoHangLoat, ThongBaoTien.tinhTong</t>
  </si>
  <si>
    <t>BR-HD-02, BR-HD-03, BR-HD-05</t>
  </si>
  <si>
    <t>TBT.PHI_PHAT_SINH</t>
  </si>
  <si>
    <t>Thêm phí phát sinh / giảm trừ / khoản điều chỉnh sửa sai thông báo đã thu</t>
  </si>
  <si>
    <t>ThongBaoTien.themDong</t>
  </si>
  <si>
    <t>Chỉ khi thông báo ở Nháp; khoản điều chỉnh ghi mã thông báo gốc (BR-HD-04)</t>
  </si>
  <si>
    <t>TBT.PHAT_HANH</t>
  </si>
  <si>
    <t>Phát hành (sinh VietQR)</t>
  </si>
  <si>
    <t>UC05.06, UC05.07</t>
  </si>
  <si>
    <t>DichVuThongBaoTien.phatHanhHangLoat, ThongBaoTien.taoMaVietQR</t>
  </si>
  <si>
    <t>Cảnh báo HĐ hết hạn trước khi phát hành</t>
  </si>
  <si>
    <t>TBT.HUY</t>
  </si>
  <si>
    <t>Hủy &amp; lập lại</t>
  </si>
  <si>
    <t>BR-HD-04: chỉ khi chưa thu</t>
  </si>
  <si>
    <t>TBT.XEM_CUA_MINH</t>
  </si>
  <si>
    <t>Xem thông báo tiền, mã VietQR</t>
  </si>
  <si>
    <t>Khách không thấy thông báo Nháp</t>
  </si>
  <si>
    <t>TT.BAO_CK</t>
  </si>
  <si>
    <t>Chỉ khi TB thuộc nhóm Chưa thu đủ</t>
  </si>
  <si>
    <t>TT.XAC_NHAN</t>
  </si>
  <si>
    <t>Xác nhận đã nhận tiền (nhập số thực nhận)</t>
  </si>
  <si>
    <t>UC06.02, UC06.05</t>
  </si>
  <si>
    <t>BaoThanhToan.xacNhan, ThongBaoTien.capNhatTrangThaiThu, PhieuThu.sinhSoPhieu</t>
  </si>
  <si>
    <t>Sinh phiếu thu tự động</t>
  </si>
  <si>
    <t>TT.TU_CHOI</t>
  </si>
  <si>
    <t>Chỉ Chủ nhà thực hiện; TB trở về trạng thái trước khi khách báo; khách nhận thông báo kèm lý do</t>
  </si>
  <si>
    <t>TT.THU_TRUC_TIEP</t>
  </si>
  <si>
    <t>Thu tiền hằng tháng / Khách thuê &amp; hợp đồng</t>
  </si>
  <si>
    <t>Xác nhận thanh toán; Nhận phòng</t>
  </si>
  <si>
    <t>Ghi nhận thu trực tiếp: tiền mặt, hoặc chuyển khoản khách không báo qua hệ thống</t>
  </si>
  <si>
    <t>UC06.04, UC06.05</t>
  </si>
  <si>
    <t>ThongBaoTien.ghiNhanThu, PhieuThu.sinhSoPhieu</t>
  </si>
  <si>
    <t>Sinh phiếu thu ngay, hình thức theo lựa chọn; dùng cho cả thông báo ký HĐ khi khách chưa có tài khoản</t>
  </si>
  <si>
    <t>TT.NHAC_HAN</t>
  </si>
  <si>
    <t>Thu tiền hằng tháng / Tiền phòng</t>
  </si>
  <si>
    <t>Xác nhận thanh toán; Thông báo tiền</t>
  </si>
  <si>
    <t>CN-05.03, KT-02.01</t>
  </si>
  <si>
    <t>Nhắc hạn &amp; đánh dấu quá hạn</t>
  </si>
  <si>
    <t>ThongBaoTien.danhDauQuaHan, BoHenGio.chayHangNgay</t>
  </si>
  <si>
    <t>Ngày hạn và 3 ngày sau hạn; không tự cộng phạt</t>
  </si>
  <si>
    <t>PT.XEM</t>
  </si>
  <si>
    <t>CN-05.04, KT-02.02</t>
  </si>
  <si>
    <t>Xem, tải phiếu thu PDF / ảnh</t>
  </si>
  <si>
    <t>PT.HUY</t>
  </si>
  <si>
    <t>PhieuThu.huy, ThongBaoTien.capNhatTrangThaiThu</t>
  </si>
  <si>
    <t>BR-TT-02: không xóa</t>
  </si>
  <si>
    <t>SC.BAO</t>
  </si>
  <si>
    <t>BR-SC-01: gắn với phòng của khách</t>
  </si>
  <si>
    <t>SC.XEM</t>
  </si>
  <si>
    <t>Danh sách sự cố / Sự cố của tôi</t>
  </si>
  <si>
    <t>CN-06.01, KT-04.01</t>
  </si>
  <si>
    <t>Xem trạng thái, lịch sử xử lý</t>
  </si>
  <si>
    <t>BR-SC-01</t>
  </si>
  <si>
    <t>SC.MO_LAI</t>
  </si>
  <si>
    <t>Chỉ khi trạng thái Đã xử lý</t>
  </si>
  <si>
    <t>SC.TIEP_NHAN</t>
  </si>
  <si>
    <t>SC.HOAN_THANH</t>
  </si>
  <si>
    <t>Cập nhật kết quả (chi phí, ảnh)</t>
  </si>
  <si>
    <t>SC.TU_CHOI</t>
  </si>
  <si>
    <t>BR-SC-02</t>
  </si>
  <si>
    <t>SC.PHI_KHACH</t>
  </si>
  <si>
    <t>Thêm phí phát sinh cho khách</t>
  </si>
  <si>
    <t>SuCo.tinhPhiChoKhach, ThongBaoTien.themDong</t>
  </si>
  <si>
    <t>BR-SC-03: ghi rõ nguyên nhân do khách</t>
  </si>
  <si>
    <t>TB.GUI_CHUNG</t>
  </si>
  <si>
    <t>Gửi thông báo chung cho cả tòa</t>
  </si>
  <si>
    <t>TB.XEM</t>
  </si>
  <si>
    <t>CN-07.01, KT-05.01, SYS-02</t>
  </si>
  <si>
    <t>Xem thông báo, đánh dấu đã đọc</t>
  </si>
  <si>
    <t>ThongBaoNguoiNhan.danhDauDaDoc, ThongBaoNguoiNhan.demChuaDoc</t>
  </si>
  <si>
    <t>Mỗi người chỉ thấy thông báo gửi cho mình</t>
  </si>
  <si>
    <t>TB.TU_DONG</t>
  </si>
  <si>
    <t>CN-07.01, KT-05.01</t>
  </si>
  <si>
    <t>Danh sách sự kiện: Mô tả YC mục 9</t>
  </si>
  <si>
    <t>VIEC.XEM</t>
  </si>
  <si>
    <t>BC.TONG_QUAN</t>
  </si>
  <si>
    <t>Xem báo cáo vận hành</t>
  </si>
  <si>
    <t>BC.LAP_DAY</t>
  </si>
  <si>
    <t>Xem tình trạng phòng, tỷ lệ lấp đầy</t>
  </si>
  <si>
    <t>DichVuBaoCao.tinhTrangPhong, DichVuBaoCao.tyLeLapDay</t>
  </si>
  <si>
    <t>BC.DOANH_THU</t>
  </si>
  <si>
    <t>Xem doanh thu, tỷ lệ thu, công nợ quá hạn</t>
  </si>
  <si>
    <t>DichVuBaoCao.doanhThu, DichVuBaoCao.tyLeThu, DichVuBaoCao.congNoQuaHan</t>
  </si>
  <si>
    <t>BC.COC_HD</t>
  </si>
  <si>
    <t>Xem cọc đang giữ, HĐ sắp hết hạn</t>
  </si>
  <si>
    <t>DichVuBaoCao.cocDangGiu, DichVuBaoCao.hopDongSapHetHan</t>
  </si>
  <si>
    <t>BC.SU_CO</t>
  </si>
  <si>
    <t>Xem sự cố đang mở</t>
  </si>
  <si>
    <t>PHONG.XOA</t>
  </si>
  <si>
    <t>Xóa phòng chưa từng có hợp đồng</t>
  </si>
  <si>
    <t>Phong.coTheXoa, Phong.xoa</t>
  </si>
  <si>
    <t>BR-DM-03: chỉ xóa khi chưa từng có HĐ; ngược lại chỉ cho Ngừng khai thác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</si>
</sst>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charset val="1"/>
    </font>
    <font>
      <b/>
      <sz val="14"/>
      <color rgb="FF1F4E78"/>
      <name val="Arial"/>
      <charset val="1"/>
    </font>
    <font>
      <i/>
      <sz val="10"/>
      <color rgb="FF595959"/>
      <name val="Arial"/>
      <charset val="1"/>
    </font>
    <font>
      <b/>
      <sz val="10"/>
      <name val="Arial"/>
      <charset val="1"/>
    </font>
    <font>
      <sz val="10"/>
      <name val="Arial"/>
      <charset val="1"/>
    </font>
    <font>
      <b/>
      <sz val="10"/>
      <color rgb="FF1F4E78"/>
      <name val="Arial"/>
      <charset val="1"/>
    </font>
    <font>
      <b/>
      <sz val="10"/>
      <color rgb="FFFFFFFF"/>
      <name val="Arial"/>
      <charset val="1"/>
    </font>
    <font>
      <b/>
      <sz val="10"/>
      <color rgb="FFC00000"/>
      <name val="Arial"/>
      <charset val="1"/>
    </font>
  </fonts>
  <fills count="4">
    <fill>
      <patternFill patternType="none"/>
    </fill>
    <fill>
      <patternFill patternType="gray125"/>
    </fill>
    <fill>
      <patternFill patternType="solid">
        <fgColor rgb="FF1F4E78"/>
        <bgColor rgb="FF404040"/>
      </patternFill>
    </fill>
    <fill>
      <patternFill patternType="solid">
        <fgColor rgb="FFDDEBF7"/>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0" fillId="0" borderId="0" xfId="0" applyAlignment="1"/>
    <xf numFmtId="0" fontId="1" fillId="0" borderId="0" xfId="0" applyFont="1" applyAlignment="1"/>
    <xf numFmtId="0" fontId="2" fillId="0" borderId="0" xfId="0" applyFont="1" applyAlignment="1"/>
    <xf numFmtId="0" fontId="4" fillId="0" borderId="1" xfId="0" applyFont="1" applyBorder="1" applyAlignment="1">
      <alignment vertical="top" wrapText="1"/>
    </xf>
    <xf numFmtId="0" fontId="5" fillId="0" borderId="0" xfId="0" applyFont="1" applyAlignment="1"/>
    <xf numFmtId="0" fontId="6"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4" fillId="0" borderId="1" xfId="0" applyFont="1" applyBorder="1" applyAlignment="1">
      <alignment horizontal="center" vertical="top" wrapText="1"/>
    </xf>
    <xf numFmtId="0" fontId="4" fillId="0" borderId="0" xfId="0" applyFont="1" applyAlignment="1"/>
    <xf numFmtId="0" fontId="3" fillId="0" borderId="0" xfId="0" applyFont="1" applyAlignment="1">
      <alignment horizontal="left"/>
    </xf>
    <xf numFmtId="0" fontId="7" fillId="0" borderId="0" xfId="0" applyFont="1" applyAlignment="1">
      <alignment horizontal="left"/>
    </xf>
    <xf numFmtId="0" fontId="3" fillId="0" borderId="1" xfId="0" applyFont="1" applyBorder="1" applyAlignment="1">
      <alignment horizontal="center" vertical="top" wrapText="1"/>
    </xf>
  </cellXfs>
  <cellStyles count="1">
    <cellStyle name="Normal" xfId="0" builtinId="0"/>
  </cellStyles>
  <dxfs count="5">
    <dxf>
      <font>
        <color rgb="FFA6A6A6"/>
        <name val="Arial"/>
      </font>
      <fill>
        <patternFill>
          <bgColor rgb="FFFFFFFF"/>
        </patternFill>
      </fill>
    </dxf>
    <dxf>
      <font>
        <b/>
        <color rgb="FF5B3F86"/>
        <name val="Arial"/>
      </font>
      <fill>
        <patternFill>
          <bgColor rgb="FFE4DFEC"/>
        </patternFill>
      </fill>
    </dxf>
    <dxf>
      <font>
        <b/>
        <color rgb="FF404040"/>
        <name val="Arial"/>
      </font>
      <fill>
        <patternFill>
          <bgColor rgb="FFEDEDED"/>
        </patternFill>
      </fill>
    </dxf>
    <dxf>
      <font>
        <b/>
        <color rgb="FF1F4E78"/>
        <name val="Arial"/>
      </font>
      <fill>
        <patternFill>
          <bgColor rgb="FFDDEBF7"/>
        </patternFill>
      </fill>
    </dxf>
    <dxf>
      <font>
        <b/>
        <color rgb="FF006100"/>
        <name val="Arial"/>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DEDED"/>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A6A6A6"/>
      <rgbColor rgb="FF1F4E78"/>
      <rgbColor rgb="FF339966"/>
      <rgbColor rgb="FF003300"/>
      <rgbColor rgb="FF333300"/>
      <rgbColor rgb="FF993300"/>
      <rgbColor rgb="FF993366"/>
      <rgbColor rgb="FF5B3F8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showGridLines="0" tabSelected="1" zoomScale="85" zoomScaleNormal="85" workbookViewId="0">
      <pane xSplit="6" ySplit="4" topLeftCell="G5" activePane="bottomRight" state="frozen"/>
      <selection pane="topRight" activeCell="G1" sqref="G1"/>
      <selection pane="bottomLeft" activeCell="A56" sqref="A56"/>
      <selection pane="bottomRight" activeCell="D6" sqref="D6"/>
    </sheetView>
  </sheetViews>
  <sheetFormatPr defaultColWidth="8.6640625" defaultRowHeight="14.4" x14ac:dyDescent="0.3"/>
  <cols>
    <col min="1" max="1" width="5" style="1" customWidth="1"/>
    <col min="2" max="2" width="11" style="1" customWidth="1"/>
    <col min="3" max="3" width="10" style="1" customWidth="1"/>
    <col min="4" max="4" width="5" style="1" customWidth="1"/>
    <col min="5" max="5" width="22" style="1" customWidth="1"/>
    <col min="6" max="6" width="24" style="1" customWidth="1"/>
    <col min="7" max="7" width="52" style="1" customWidth="1"/>
    <col min="8" max="8" width="44" style="1" customWidth="1"/>
    <col min="9" max="9" width="22" style="1" customWidth="1"/>
    <col min="10" max="10" width="18" style="1" customWidth="1"/>
    <col min="11" max="11" width="26" style="1" customWidth="1"/>
    <col min="12" max="12" width="13" style="1" customWidth="1"/>
    <col min="13" max="13" width="44" style="1" customWidth="1"/>
  </cols>
  <sheetData>
    <row r="1" spans="1:13" ht="17.25" customHeight="1" x14ac:dyDescent="0.3">
      <c r="A1" s="2" t="s">
        <v>0</v>
      </c>
    </row>
    <row r="2" spans="1:13" ht="14.25" customHeight="1" x14ac:dyDescent="0.3">
      <c r="A2" s="3"/>
    </row>
    <row r="4" spans="1:13" ht="14.25" customHeight="1" x14ac:dyDescent="0.3">
      <c r="A4" s="6" t="s">
        <v>1</v>
      </c>
      <c r="B4" s="6" t="s">
        <v>2</v>
      </c>
      <c r="C4" s="6" t="s">
        <v>3</v>
      </c>
      <c r="D4" s="6" t="s">
        <v>4</v>
      </c>
      <c r="E4" s="6" t="s">
        <v>5</v>
      </c>
      <c r="F4" s="6" t="s">
        <v>6</v>
      </c>
      <c r="G4" s="6" t="s">
        <v>7</v>
      </c>
      <c r="H4" s="6" t="s">
        <v>8</v>
      </c>
      <c r="I4" s="6" t="s">
        <v>9</v>
      </c>
      <c r="J4" s="6" t="s">
        <v>10</v>
      </c>
      <c r="K4" s="6" t="s">
        <v>11</v>
      </c>
      <c r="L4" s="6" t="s">
        <v>12</v>
      </c>
      <c r="M4" s="6" t="s">
        <v>13</v>
      </c>
    </row>
    <row r="5" spans="1:13" ht="14.25" customHeight="1" x14ac:dyDescent="0.3">
      <c r="A5" s="7">
        <v>1</v>
      </c>
      <c r="B5" s="7" t="s">
        <v>14</v>
      </c>
      <c r="C5" s="7" t="s">
        <v>15</v>
      </c>
      <c r="D5" s="7">
        <v>1</v>
      </c>
      <c r="E5" s="8" t="s">
        <v>16</v>
      </c>
      <c r="F5" s="8"/>
      <c r="G5" s="8"/>
      <c r="H5" s="8"/>
      <c r="I5" s="8"/>
      <c r="J5" s="8"/>
      <c r="K5" s="8"/>
      <c r="L5" s="8" t="s">
        <v>17</v>
      </c>
      <c r="M5" s="8"/>
    </row>
    <row r="6" spans="1:13" ht="52.5" customHeight="1" x14ac:dyDescent="0.3">
      <c r="A6" s="9">
        <v>2</v>
      </c>
      <c r="B6" s="9" t="s">
        <v>14</v>
      </c>
      <c r="C6" s="9" t="s">
        <v>18</v>
      </c>
      <c r="D6" s="9">
        <v>2</v>
      </c>
      <c r="E6" s="4" t="s">
        <v>16</v>
      </c>
      <c r="F6" s="4" t="s">
        <v>19</v>
      </c>
      <c r="G6" s="4" t="s">
        <v>20</v>
      </c>
      <c r="H6" s="4" t="s">
        <v>21</v>
      </c>
      <c r="I6" s="4" t="s">
        <v>22</v>
      </c>
      <c r="J6" s="4" t="s">
        <v>23</v>
      </c>
      <c r="K6" s="4" t="s">
        <v>24</v>
      </c>
      <c r="L6" s="4"/>
      <c r="M6" s="4" t="s">
        <v>25</v>
      </c>
    </row>
    <row r="7" spans="1:13" ht="26.25" customHeight="1" x14ac:dyDescent="0.3">
      <c r="A7" s="9">
        <v>3</v>
      </c>
      <c r="B7" s="9" t="s">
        <v>14</v>
      </c>
      <c r="C7" s="9" t="s">
        <v>26</v>
      </c>
      <c r="D7" s="9">
        <v>2</v>
      </c>
      <c r="E7" s="4" t="s">
        <v>16</v>
      </c>
      <c r="F7" s="4" t="s">
        <v>27</v>
      </c>
      <c r="G7" s="4" t="s">
        <v>28</v>
      </c>
      <c r="H7" s="4" t="s">
        <v>29</v>
      </c>
      <c r="I7" s="4" t="s">
        <v>30</v>
      </c>
      <c r="J7" s="4"/>
      <c r="K7" s="4" t="s">
        <v>31</v>
      </c>
      <c r="L7" s="4"/>
      <c r="M7" s="4"/>
    </row>
    <row r="8" spans="1:13" ht="14.25" customHeight="1" x14ac:dyDescent="0.3">
      <c r="A8" s="7">
        <v>4</v>
      </c>
      <c r="B8" s="7" t="s">
        <v>14</v>
      </c>
      <c r="C8" s="7" t="s">
        <v>32</v>
      </c>
      <c r="D8" s="7">
        <v>1</v>
      </c>
      <c r="E8" s="8" t="s">
        <v>33</v>
      </c>
      <c r="F8" s="8"/>
      <c r="G8" s="8"/>
      <c r="H8" s="8"/>
      <c r="I8" s="8"/>
      <c r="J8" s="8"/>
      <c r="K8" s="8"/>
      <c r="L8" s="8" t="s">
        <v>34</v>
      </c>
      <c r="M8" s="8"/>
    </row>
    <row r="9" spans="1:13" ht="39" customHeight="1" x14ac:dyDescent="0.3">
      <c r="A9" s="9">
        <v>5</v>
      </c>
      <c r="B9" s="9" t="s">
        <v>14</v>
      </c>
      <c r="C9" s="9" t="s">
        <v>35</v>
      </c>
      <c r="D9" s="9">
        <v>2</v>
      </c>
      <c r="E9" s="4" t="s">
        <v>33</v>
      </c>
      <c r="F9" s="4" t="s">
        <v>36</v>
      </c>
      <c r="G9" s="4" t="s">
        <v>37</v>
      </c>
      <c r="H9" s="4" t="s">
        <v>38</v>
      </c>
      <c r="I9" s="4" t="s">
        <v>39</v>
      </c>
      <c r="J9" s="4"/>
      <c r="K9" s="4" t="s">
        <v>40</v>
      </c>
      <c r="L9" s="4"/>
      <c r="M9" s="4" t="s">
        <v>41</v>
      </c>
    </row>
    <row r="10" spans="1:13" ht="26.25" customHeight="1" x14ac:dyDescent="0.3">
      <c r="A10" s="9">
        <v>6</v>
      </c>
      <c r="B10" s="9" t="s">
        <v>14</v>
      </c>
      <c r="C10" s="9" t="s">
        <v>42</v>
      </c>
      <c r="D10" s="9">
        <v>2</v>
      </c>
      <c r="E10" s="4" t="s">
        <v>33</v>
      </c>
      <c r="F10" s="4" t="s">
        <v>43</v>
      </c>
      <c r="G10" s="4" t="s">
        <v>44</v>
      </c>
      <c r="H10" s="4" t="s">
        <v>45</v>
      </c>
      <c r="I10" s="4" t="s">
        <v>46</v>
      </c>
      <c r="J10" s="4"/>
      <c r="K10" s="4" t="s">
        <v>47</v>
      </c>
      <c r="L10" s="4"/>
      <c r="M10" s="4" t="s">
        <v>48</v>
      </c>
    </row>
    <row r="11" spans="1:13" ht="26.25" customHeight="1" x14ac:dyDescent="0.3">
      <c r="A11" s="9">
        <v>7</v>
      </c>
      <c r="B11" s="9" t="s">
        <v>14</v>
      </c>
      <c r="C11" s="9" t="s">
        <v>49</v>
      </c>
      <c r="D11" s="9">
        <v>2</v>
      </c>
      <c r="E11" s="4" t="s">
        <v>33</v>
      </c>
      <c r="F11" s="4" t="s">
        <v>50</v>
      </c>
      <c r="G11" s="4" t="s">
        <v>51</v>
      </c>
      <c r="H11" s="4" t="s">
        <v>52</v>
      </c>
      <c r="I11" s="4" t="s">
        <v>53</v>
      </c>
      <c r="J11" s="4"/>
      <c r="K11" s="4" t="s">
        <v>54</v>
      </c>
      <c r="L11" s="4"/>
      <c r="M11" s="4"/>
    </row>
    <row r="12" spans="1:13" ht="26.25" customHeight="1" x14ac:dyDescent="0.3">
      <c r="A12" s="7">
        <v>8</v>
      </c>
      <c r="B12" s="7" t="s">
        <v>14</v>
      </c>
      <c r="C12" s="7" t="s">
        <v>55</v>
      </c>
      <c r="D12" s="7">
        <v>1</v>
      </c>
      <c r="E12" s="8" t="s">
        <v>56</v>
      </c>
      <c r="F12" s="8"/>
      <c r="G12" s="8"/>
      <c r="H12" s="8"/>
      <c r="I12" s="8"/>
      <c r="J12" s="8"/>
      <c r="K12" s="8"/>
      <c r="L12" s="8" t="s">
        <v>57</v>
      </c>
      <c r="M12" s="8"/>
    </row>
    <row r="13" spans="1:13" ht="39" customHeight="1" x14ac:dyDescent="0.3">
      <c r="A13" s="9">
        <v>9</v>
      </c>
      <c r="B13" s="9" t="s">
        <v>14</v>
      </c>
      <c r="C13" s="9" t="s">
        <v>58</v>
      </c>
      <c r="D13" s="9">
        <v>2</v>
      </c>
      <c r="E13" s="4" t="s">
        <v>56</v>
      </c>
      <c r="F13" s="4" t="s">
        <v>59</v>
      </c>
      <c r="G13" s="4" t="s">
        <v>60</v>
      </c>
      <c r="H13" s="4" t="s">
        <v>61</v>
      </c>
      <c r="I13" s="4" t="s">
        <v>62</v>
      </c>
      <c r="J13" s="4"/>
      <c r="K13" s="4" t="s">
        <v>63</v>
      </c>
      <c r="L13" s="4"/>
      <c r="M13" s="4" t="s">
        <v>64</v>
      </c>
    </row>
    <row r="14" spans="1:13" ht="39" customHeight="1" x14ac:dyDescent="0.3">
      <c r="A14" s="9">
        <v>10</v>
      </c>
      <c r="B14" s="9" t="s">
        <v>14</v>
      </c>
      <c r="C14" s="9" t="s">
        <v>65</v>
      </c>
      <c r="D14" s="9">
        <v>2</v>
      </c>
      <c r="E14" s="4" t="s">
        <v>56</v>
      </c>
      <c r="F14" s="4" t="s">
        <v>66</v>
      </c>
      <c r="G14" s="4" t="s">
        <v>67</v>
      </c>
      <c r="H14" s="4" t="s">
        <v>68</v>
      </c>
      <c r="I14" s="4" t="s">
        <v>69</v>
      </c>
      <c r="J14" s="4"/>
      <c r="K14" s="4" t="s">
        <v>70</v>
      </c>
      <c r="L14" s="4"/>
      <c r="M14" s="4" t="s">
        <v>71</v>
      </c>
    </row>
    <row r="15" spans="1:13" ht="39" customHeight="1" x14ac:dyDescent="0.3">
      <c r="A15" s="9">
        <v>11</v>
      </c>
      <c r="B15" s="9" t="s">
        <v>14</v>
      </c>
      <c r="C15" s="9" t="s">
        <v>72</v>
      </c>
      <c r="D15" s="9">
        <v>2</v>
      </c>
      <c r="E15" s="4" t="s">
        <v>56</v>
      </c>
      <c r="F15" s="4" t="s">
        <v>73</v>
      </c>
      <c r="G15" s="4" t="s">
        <v>74</v>
      </c>
      <c r="H15" s="4" t="s">
        <v>75</v>
      </c>
      <c r="I15" s="4" t="s">
        <v>76</v>
      </c>
      <c r="J15" s="4" t="s">
        <v>77</v>
      </c>
      <c r="K15" s="4" t="s">
        <v>78</v>
      </c>
      <c r="L15" s="4"/>
      <c r="M15" s="4" t="s">
        <v>79</v>
      </c>
    </row>
    <row r="16" spans="1:13" ht="26.25" customHeight="1" x14ac:dyDescent="0.3">
      <c r="A16" s="9">
        <v>12</v>
      </c>
      <c r="B16" s="9" t="s">
        <v>14</v>
      </c>
      <c r="C16" s="9" t="s">
        <v>80</v>
      </c>
      <c r="D16" s="9">
        <v>2</v>
      </c>
      <c r="E16" s="4" t="s">
        <v>56</v>
      </c>
      <c r="F16" s="4" t="s">
        <v>81</v>
      </c>
      <c r="G16" s="4" t="s">
        <v>82</v>
      </c>
      <c r="H16" s="4" t="s">
        <v>83</v>
      </c>
      <c r="I16" s="4" t="s">
        <v>84</v>
      </c>
      <c r="J16" s="4"/>
      <c r="K16" s="4" t="s">
        <v>85</v>
      </c>
      <c r="L16" s="4"/>
      <c r="M16" s="4" t="s">
        <v>86</v>
      </c>
    </row>
    <row r="17" spans="1:13" ht="26.25" customHeight="1" x14ac:dyDescent="0.3">
      <c r="A17" s="7">
        <v>13</v>
      </c>
      <c r="B17" s="7" t="s">
        <v>14</v>
      </c>
      <c r="C17" s="7" t="s">
        <v>87</v>
      </c>
      <c r="D17" s="7">
        <v>1</v>
      </c>
      <c r="E17" s="8" t="s">
        <v>88</v>
      </c>
      <c r="F17" s="8"/>
      <c r="G17" s="8"/>
      <c r="H17" s="8"/>
      <c r="I17" s="8"/>
      <c r="J17" s="8"/>
      <c r="K17" s="8"/>
      <c r="L17" s="8" t="s">
        <v>89</v>
      </c>
      <c r="M17" s="8"/>
    </row>
    <row r="18" spans="1:13" ht="52.5" customHeight="1" x14ac:dyDescent="0.3">
      <c r="A18" s="9">
        <v>14</v>
      </c>
      <c r="B18" s="9" t="s">
        <v>14</v>
      </c>
      <c r="C18" s="9" t="s">
        <v>90</v>
      </c>
      <c r="D18" s="9">
        <v>2</v>
      </c>
      <c r="E18" s="4" t="s">
        <v>88</v>
      </c>
      <c r="F18" s="4" t="s">
        <v>91</v>
      </c>
      <c r="G18" s="4" t="s">
        <v>92</v>
      </c>
      <c r="H18" s="4" t="s">
        <v>93</v>
      </c>
      <c r="I18" s="4" t="s">
        <v>94</v>
      </c>
      <c r="J18" s="4" t="s">
        <v>95</v>
      </c>
      <c r="K18" s="4" t="s">
        <v>96</v>
      </c>
      <c r="L18" s="4"/>
      <c r="M18" s="4"/>
    </row>
    <row r="19" spans="1:13" ht="52.5" customHeight="1" x14ac:dyDescent="0.3">
      <c r="A19" s="9">
        <v>15</v>
      </c>
      <c r="B19" s="9" t="s">
        <v>14</v>
      </c>
      <c r="C19" s="9" t="s">
        <v>97</v>
      </c>
      <c r="D19" s="9">
        <v>2</v>
      </c>
      <c r="E19" s="4" t="s">
        <v>88</v>
      </c>
      <c r="F19" s="4" t="s">
        <v>98</v>
      </c>
      <c r="G19" s="4" t="s">
        <v>99</v>
      </c>
      <c r="H19" s="4" t="s">
        <v>100</v>
      </c>
      <c r="I19" s="4" t="s">
        <v>101</v>
      </c>
      <c r="J19" s="4" t="s">
        <v>102</v>
      </c>
      <c r="K19" s="4" t="s">
        <v>103</v>
      </c>
      <c r="L19" s="4"/>
      <c r="M19" s="4" t="s">
        <v>104</v>
      </c>
    </row>
    <row r="20" spans="1:13" ht="14.25" customHeight="1" x14ac:dyDescent="0.3">
      <c r="A20" s="7">
        <v>16</v>
      </c>
      <c r="B20" s="7" t="s">
        <v>14</v>
      </c>
      <c r="C20" s="7" t="s">
        <v>105</v>
      </c>
      <c r="D20" s="7">
        <v>1</v>
      </c>
      <c r="E20" s="8" t="s">
        <v>106</v>
      </c>
      <c r="F20" s="8"/>
      <c r="G20" s="8"/>
      <c r="H20" s="8"/>
      <c r="I20" s="8"/>
      <c r="J20" s="8"/>
      <c r="K20" s="8"/>
      <c r="L20" s="8" t="s">
        <v>107</v>
      </c>
      <c r="M20" s="8"/>
    </row>
    <row r="21" spans="1:13" ht="26.25" customHeight="1" x14ac:dyDescent="0.3">
      <c r="A21" s="9">
        <v>17</v>
      </c>
      <c r="B21" s="9" t="s">
        <v>14</v>
      </c>
      <c r="C21" s="9" t="s">
        <v>108</v>
      </c>
      <c r="D21" s="9">
        <v>2</v>
      </c>
      <c r="E21" s="4" t="s">
        <v>106</v>
      </c>
      <c r="F21" s="4" t="s">
        <v>109</v>
      </c>
      <c r="G21" s="4" t="s">
        <v>110</v>
      </c>
      <c r="H21" s="4" t="s">
        <v>111</v>
      </c>
      <c r="I21" s="4" t="s">
        <v>112</v>
      </c>
      <c r="J21" s="4" t="s">
        <v>113</v>
      </c>
      <c r="K21" s="4" t="s">
        <v>114</v>
      </c>
      <c r="L21" s="4"/>
      <c r="M21" s="4" t="s">
        <v>115</v>
      </c>
    </row>
    <row r="22" spans="1:13" ht="39" customHeight="1" x14ac:dyDescent="0.3">
      <c r="A22" s="9">
        <v>18</v>
      </c>
      <c r="B22" s="9" t="s">
        <v>14</v>
      </c>
      <c r="C22" s="9" t="s">
        <v>116</v>
      </c>
      <c r="D22" s="9">
        <v>2</v>
      </c>
      <c r="E22" s="4" t="s">
        <v>106</v>
      </c>
      <c r="F22" s="4" t="s">
        <v>117</v>
      </c>
      <c r="G22" s="4" t="s">
        <v>118</v>
      </c>
      <c r="H22" s="4" t="s">
        <v>119</v>
      </c>
      <c r="I22" s="4" t="s">
        <v>120</v>
      </c>
      <c r="J22" s="4"/>
      <c r="K22" s="4" t="s">
        <v>121</v>
      </c>
      <c r="L22" s="4"/>
      <c r="M22" s="4" t="s">
        <v>122</v>
      </c>
    </row>
    <row r="23" spans="1:13" ht="39" customHeight="1" x14ac:dyDescent="0.3">
      <c r="A23" s="9">
        <v>19</v>
      </c>
      <c r="B23" s="9" t="s">
        <v>14</v>
      </c>
      <c r="C23" s="9" t="s">
        <v>123</v>
      </c>
      <c r="D23" s="9">
        <v>2</v>
      </c>
      <c r="E23" s="4" t="s">
        <v>106</v>
      </c>
      <c r="F23" s="4" t="s">
        <v>124</v>
      </c>
      <c r="G23" s="4" t="s">
        <v>125</v>
      </c>
      <c r="H23" s="4" t="s">
        <v>126</v>
      </c>
      <c r="I23" s="4" t="s">
        <v>127</v>
      </c>
      <c r="J23" s="4" t="s">
        <v>128</v>
      </c>
      <c r="K23" s="4" t="s">
        <v>129</v>
      </c>
      <c r="L23" s="4"/>
      <c r="M23" s="4" t="s">
        <v>130</v>
      </c>
    </row>
    <row r="24" spans="1:13" ht="26.25" customHeight="1" x14ac:dyDescent="0.3">
      <c r="A24" s="9">
        <v>20</v>
      </c>
      <c r="B24" s="9" t="s">
        <v>14</v>
      </c>
      <c r="C24" s="9" t="s">
        <v>131</v>
      </c>
      <c r="D24" s="9">
        <v>2</v>
      </c>
      <c r="E24" s="4" t="s">
        <v>106</v>
      </c>
      <c r="F24" s="4" t="s">
        <v>132</v>
      </c>
      <c r="G24" s="4" t="s">
        <v>133</v>
      </c>
      <c r="H24" s="4" t="s">
        <v>134</v>
      </c>
      <c r="I24" s="4" t="s">
        <v>135</v>
      </c>
      <c r="J24" s="4"/>
      <c r="K24" s="4" t="s">
        <v>136</v>
      </c>
      <c r="L24" s="4"/>
      <c r="M24" s="4" t="s">
        <v>137</v>
      </c>
    </row>
    <row r="25" spans="1:13" ht="14.25" customHeight="1" x14ac:dyDescent="0.3">
      <c r="A25" s="7">
        <v>21</v>
      </c>
      <c r="B25" s="7" t="s">
        <v>14</v>
      </c>
      <c r="C25" s="7" t="s">
        <v>138</v>
      </c>
      <c r="D25" s="7">
        <v>1</v>
      </c>
      <c r="E25" s="8" t="s">
        <v>139</v>
      </c>
      <c r="F25" s="8"/>
      <c r="G25" s="8"/>
      <c r="H25" s="8"/>
      <c r="I25" s="8"/>
      <c r="J25" s="8"/>
      <c r="K25" s="8"/>
      <c r="L25" s="8" t="s">
        <v>140</v>
      </c>
      <c r="M25" s="8"/>
    </row>
    <row r="26" spans="1:13" ht="39" customHeight="1" x14ac:dyDescent="0.3">
      <c r="A26" s="9">
        <v>22</v>
      </c>
      <c r="B26" s="9" t="s">
        <v>14</v>
      </c>
      <c r="C26" s="9" t="s">
        <v>141</v>
      </c>
      <c r="D26" s="9">
        <v>2</v>
      </c>
      <c r="E26" s="4" t="s">
        <v>139</v>
      </c>
      <c r="F26" s="4" t="s">
        <v>142</v>
      </c>
      <c r="G26" s="4" t="s">
        <v>143</v>
      </c>
      <c r="H26" s="4" t="s">
        <v>144</v>
      </c>
      <c r="I26" s="4" t="s">
        <v>145</v>
      </c>
      <c r="J26" s="4" t="s">
        <v>146</v>
      </c>
      <c r="K26" s="4" t="s">
        <v>147</v>
      </c>
      <c r="L26" s="4"/>
      <c r="M26" s="4" t="s">
        <v>148</v>
      </c>
    </row>
    <row r="27" spans="1:13" ht="14.25" customHeight="1" x14ac:dyDescent="0.3">
      <c r="A27" s="7">
        <v>23</v>
      </c>
      <c r="B27" s="7" t="s">
        <v>14</v>
      </c>
      <c r="C27" s="7" t="s">
        <v>149</v>
      </c>
      <c r="D27" s="7">
        <v>1</v>
      </c>
      <c r="E27" s="8" t="s">
        <v>150</v>
      </c>
      <c r="F27" s="8"/>
      <c r="G27" s="8"/>
      <c r="H27" s="8"/>
      <c r="I27" s="8"/>
      <c r="J27" s="8"/>
      <c r="K27" s="8"/>
      <c r="L27" s="8" t="s">
        <v>151</v>
      </c>
      <c r="M27" s="8"/>
    </row>
    <row r="28" spans="1:13" ht="26.25" customHeight="1" x14ac:dyDescent="0.3">
      <c r="A28" s="9">
        <v>24</v>
      </c>
      <c r="B28" s="9" t="s">
        <v>14</v>
      </c>
      <c r="C28" s="9" t="s">
        <v>152</v>
      </c>
      <c r="D28" s="9">
        <v>2</v>
      </c>
      <c r="E28" s="4" t="s">
        <v>150</v>
      </c>
      <c r="F28" s="4" t="s">
        <v>153</v>
      </c>
      <c r="G28" s="4" t="s">
        <v>154</v>
      </c>
      <c r="H28" s="4" t="s">
        <v>155</v>
      </c>
      <c r="I28" s="4" t="s">
        <v>156</v>
      </c>
      <c r="J28" s="4" t="s">
        <v>157</v>
      </c>
      <c r="K28" s="4" t="s">
        <v>158</v>
      </c>
      <c r="L28" s="4"/>
      <c r="M28" s="4" t="s">
        <v>159</v>
      </c>
    </row>
    <row r="29" spans="1:13" ht="26.25" customHeight="1" x14ac:dyDescent="0.3">
      <c r="A29" s="9">
        <v>25</v>
      </c>
      <c r="B29" s="9" t="s">
        <v>14</v>
      </c>
      <c r="C29" s="9" t="s">
        <v>160</v>
      </c>
      <c r="D29" s="9">
        <v>2</v>
      </c>
      <c r="E29" s="4" t="s">
        <v>150</v>
      </c>
      <c r="F29" s="4" t="s">
        <v>161</v>
      </c>
      <c r="G29" s="4" t="s">
        <v>162</v>
      </c>
      <c r="H29" s="4" t="s">
        <v>163</v>
      </c>
      <c r="I29" s="4" t="s">
        <v>164</v>
      </c>
      <c r="J29" s="4"/>
      <c r="K29" s="4" t="s">
        <v>165</v>
      </c>
      <c r="L29" s="4"/>
      <c r="M29" s="4"/>
    </row>
    <row r="30" spans="1:13" ht="14.25" customHeight="1" x14ac:dyDescent="0.3">
      <c r="A30" s="7">
        <v>26</v>
      </c>
      <c r="B30" s="7" t="s">
        <v>14</v>
      </c>
      <c r="C30" s="7" t="s">
        <v>166</v>
      </c>
      <c r="D30" s="7">
        <v>1</v>
      </c>
      <c r="E30" s="8" t="s">
        <v>167</v>
      </c>
      <c r="F30" s="8"/>
      <c r="G30" s="8"/>
      <c r="H30" s="8"/>
      <c r="I30" s="8"/>
      <c r="J30" s="8"/>
      <c r="K30" s="8"/>
      <c r="L30" s="8" t="s">
        <v>168</v>
      </c>
      <c r="M30" s="8"/>
    </row>
    <row r="31" spans="1:13" ht="39" customHeight="1" x14ac:dyDescent="0.3">
      <c r="A31" s="9">
        <v>27</v>
      </c>
      <c r="B31" s="9" t="s">
        <v>14</v>
      </c>
      <c r="C31" s="9" t="s">
        <v>169</v>
      </c>
      <c r="D31" s="9">
        <v>2</v>
      </c>
      <c r="E31" s="4" t="s">
        <v>167</v>
      </c>
      <c r="F31" s="4" t="s">
        <v>170</v>
      </c>
      <c r="G31" s="4" t="s">
        <v>171</v>
      </c>
      <c r="H31" s="4" t="s">
        <v>172</v>
      </c>
      <c r="I31" s="4" t="s">
        <v>173</v>
      </c>
      <c r="J31" s="4"/>
      <c r="K31" s="4" t="s">
        <v>174</v>
      </c>
      <c r="L31" s="4"/>
      <c r="M31" s="4"/>
    </row>
    <row r="32" spans="1:13" ht="26.25" customHeight="1" x14ac:dyDescent="0.3">
      <c r="A32" s="9">
        <v>28</v>
      </c>
      <c r="B32" s="9" t="s">
        <v>14</v>
      </c>
      <c r="C32" s="9" t="s">
        <v>175</v>
      </c>
      <c r="D32" s="9">
        <v>2</v>
      </c>
      <c r="E32" s="4" t="s">
        <v>167</v>
      </c>
      <c r="F32" s="4" t="s">
        <v>176</v>
      </c>
      <c r="G32" s="4" t="s">
        <v>177</v>
      </c>
      <c r="H32" s="4" t="s">
        <v>172</v>
      </c>
      <c r="I32" s="4" t="s">
        <v>178</v>
      </c>
      <c r="J32" s="4"/>
      <c r="K32" s="4" t="s">
        <v>179</v>
      </c>
      <c r="L32" s="4"/>
      <c r="M32" s="4"/>
    </row>
    <row r="33" spans="1:13" ht="26.25" customHeight="1" x14ac:dyDescent="0.3">
      <c r="A33" s="9">
        <v>29</v>
      </c>
      <c r="B33" s="9" t="s">
        <v>14</v>
      </c>
      <c r="C33" s="9" t="s">
        <v>180</v>
      </c>
      <c r="D33" s="9">
        <v>2</v>
      </c>
      <c r="E33" s="4" t="s">
        <v>167</v>
      </c>
      <c r="F33" s="4" t="s">
        <v>181</v>
      </c>
      <c r="G33" s="4" t="s">
        <v>182</v>
      </c>
      <c r="H33" s="4" t="s">
        <v>183</v>
      </c>
      <c r="I33" s="4" t="s">
        <v>184</v>
      </c>
      <c r="J33" s="4"/>
      <c r="K33" s="4" t="s">
        <v>185</v>
      </c>
      <c r="L33" s="4"/>
      <c r="M33" s="4"/>
    </row>
    <row r="34" spans="1:13" ht="26.25" customHeight="1" x14ac:dyDescent="0.3">
      <c r="A34" s="9">
        <v>30</v>
      </c>
      <c r="B34" s="9" t="s">
        <v>14</v>
      </c>
      <c r="C34" s="9" t="s">
        <v>186</v>
      </c>
      <c r="D34" s="9">
        <v>2</v>
      </c>
      <c r="E34" s="4" t="s">
        <v>167</v>
      </c>
      <c r="F34" s="4" t="s">
        <v>187</v>
      </c>
      <c r="G34" s="4" t="s">
        <v>188</v>
      </c>
      <c r="H34" s="4" t="s">
        <v>189</v>
      </c>
      <c r="I34" s="4" t="s">
        <v>190</v>
      </c>
      <c r="J34" s="4"/>
      <c r="K34" s="4" t="s">
        <v>191</v>
      </c>
      <c r="L34" s="4"/>
      <c r="M34" s="4"/>
    </row>
    <row r="35" spans="1:13" ht="14.25" customHeight="1" x14ac:dyDescent="0.3">
      <c r="A35" s="9">
        <v>31</v>
      </c>
      <c r="B35" s="9" t="s">
        <v>14</v>
      </c>
      <c r="C35" s="9" t="s">
        <v>192</v>
      </c>
      <c r="D35" s="9">
        <v>2</v>
      </c>
      <c r="E35" s="4" t="s">
        <v>167</v>
      </c>
      <c r="F35" s="4" t="s">
        <v>193</v>
      </c>
      <c r="G35" s="4" t="s">
        <v>194</v>
      </c>
      <c r="H35" s="4" t="s">
        <v>195</v>
      </c>
      <c r="I35" s="4" t="s">
        <v>196</v>
      </c>
      <c r="J35" s="4"/>
      <c r="K35" s="4" t="s">
        <v>197</v>
      </c>
      <c r="L35" s="4"/>
      <c r="M35" s="4"/>
    </row>
    <row r="36" spans="1:13" ht="14.25" customHeight="1" x14ac:dyDescent="0.3">
      <c r="A36" s="7">
        <v>32</v>
      </c>
      <c r="B36" s="7" t="s">
        <v>14</v>
      </c>
      <c r="C36" s="7" t="s">
        <v>198</v>
      </c>
      <c r="D36" s="7">
        <v>1</v>
      </c>
      <c r="E36" s="8" t="s">
        <v>199</v>
      </c>
      <c r="F36" s="8"/>
      <c r="G36" s="8"/>
      <c r="H36" s="8"/>
      <c r="I36" s="8"/>
      <c r="J36" s="8"/>
      <c r="K36" s="8"/>
      <c r="L36" s="8" t="s">
        <v>200</v>
      </c>
      <c r="M36" s="8"/>
    </row>
    <row r="37" spans="1:13" ht="26.25" customHeight="1" x14ac:dyDescent="0.3">
      <c r="A37" s="9">
        <v>33</v>
      </c>
      <c r="B37" s="9" t="s">
        <v>14</v>
      </c>
      <c r="C37" s="9" t="s">
        <v>201</v>
      </c>
      <c r="D37" s="9">
        <v>2</v>
      </c>
      <c r="E37" s="4" t="s">
        <v>199</v>
      </c>
      <c r="F37" s="4" t="s">
        <v>202</v>
      </c>
      <c r="G37" s="4" t="s">
        <v>203</v>
      </c>
      <c r="H37" s="4" t="s">
        <v>204</v>
      </c>
      <c r="I37" s="4" t="s">
        <v>205</v>
      </c>
      <c r="J37" s="4"/>
      <c r="K37" s="4" t="s">
        <v>206</v>
      </c>
      <c r="L37" s="4"/>
      <c r="M37" s="4" t="s">
        <v>207</v>
      </c>
    </row>
    <row r="38" spans="1:13" ht="39" customHeight="1" x14ac:dyDescent="0.3">
      <c r="A38" s="9">
        <v>34</v>
      </c>
      <c r="B38" s="9" t="s">
        <v>14</v>
      </c>
      <c r="C38" s="9" t="s">
        <v>208</v>
      </c>
      <c r="D38" s="9">
        <v>2</v>
      </c>
      <c r="E38" s="4" t="s">
        <v>199</v>
      </c>
      <c r="F38" s="4" t="s">
        <v>209</v>
      </c>
      <c r="G38" s="4" t="s">
        <v>210</v>
      </c>
      <c r="H38" s="4" t="s">
        <v>204</v>
      </c>
      <c r="I38" s="4" t="s">
        <v>211</v>
      </c>
      <c r="J38" s="4"/>
      <c r="K38" s="4" t="s">
        <v>212</v>
      </c>
      <c r="L38" s="4"/>
      <c r="M38" s="4" t="s">
        <v>213</v>
      </c>
    </row>
    <row r="39" spans="1:13" ht="26.25" customHeight="1" x14ac:dyDescent="0.3">
      <c r="A39" s="9">
        <v>35</v>
      </c>
      <c r="B39" s="9" t="s">
        <v>14</v>
      </c>
      <c r="C39" s="9" t="s">
        <v>214</v>
      </c>
      <c r="D39" s="9">
        <v>2</v>
      </c>
      <c r="E39" s="4" t="s">
        <v>199</v>
      </c>
      <c r="F39" s="4" t="s">
        <v>215</v>
      </c>
      <c r="G39" s="4" t="s">
        <v>216</v>
      </c>
      <c r="H39" s="4" t="s">
        <v>217</v>
      </c>
      <c r="I39" s="4" t="s">
        <v>218</v>
      </c>
      <c r="J39" s="4"/>
      <c r="K39" s="4" t="s">
        <v>219</v>
      </c>
      <c r="L39" s="4"/>
      <c r="M39" s="4" t="s">
        <v>220</v>
      </c>
    </row>
    <row r="40" spans="1:13" ht="26.25" customHeight="1" x14ac:dyDescent="0.3">
      <c r="A40" s="9">
        <v>36</v>
      </c>
      <c r="B40" s="9" t="s">
        <v>14</v>
      </c>
      <c r="C40" s="9" t="s">
        <v>221</v>
      </c>
      <c r="D40" s="9">
        <v>2</v>
      </c>
      <c r="E40" s="4" t="s">
        <v>199</v>
      </c>
      <c r="F40" s="4" t="s">
        <v>222</v>
      </c>
      <c r="G40" s="4" t="s">
        <v>223</v>
      </c>
      <c r="H40" s="4" t="s">
        <v>224</v>
      </c>
      <c r="I40" s="4" t="s">
        <v>225</v>
      </c>
      <c r="J40" s="4"/>
      <c r="K40" s="4" t="s">
        <v>226</v>
      </c>
      <c r="L40" s="4"/>
      <c r="M40" s="4" t="s">
        <v>227</v>
      </c>
    </row>
    <row r="41" spans="1:13" ht="26.25" customHeight="1" x14ac:dyDescent="0.3">
      <c r="A41" s="9">
        <v>37</v>
      </c>
      <c r="B41" s="9" t="s">
        <v>14</v>
      </c>
      <c r="C41" s="9" t="s">
        <v>228</v>
      </c>
      <c r="D41" s="9">
        <v>2</v>
      </c>
      <c r="E41" s="4" t="s">
        <v>199</v>
      </c>
      <c r="F41" s="4" t="s">
        <v>229</v>
      </c>
      <c r="G41" s="4" t="s">
        <v>230</v>
      </c>
      <c r="H41" s="4" t="s">
        <v>231</v>
      </c>
      <c r="I41" s="4" t="s">
        <v>232</v>
      </c>
      <c r="J41" s="4"/>
      <c r="K41" s="4" t="s">
        <v>233</v>
      </c>
      <c r="L41" s="4"/>
      <c r="M41" s="4" t="s">
        <v>234</v>
      </c>
    </row>
    <row r="42" spans="1:13" ht="14.25" customHeight="1" x14ac:dyDescent="0.3">
      <c r="A42" s="7">
        <v>38</v>
      </c>
      <c r="B42" s="7" t="s">
        <v>14</v>
      </c>
      <c r="C42" s="7" t="s">
        <v>235</v>
      </c>
      <c r="D42" s="7">
        <v>1</v>
      </c>
      <c r="E42" s="8" t="s">
        <v>236</v>
      </c>
      <c r="F42" s="8"/>
      <c r="G42" s="8"/>
      <c r="H42" s="8"/>
      <c r="I42" s="8"/>
      <c r="J42" s="8"/>
      <c r="K42" s="8"/>
      <c r="L42" s="8" t="s">
        <v>237</v>
      </c>
      <c r="M42" s="8"/>
    </row>
    <row r="43" spans="1:13" ht="14.25" customHeight="1" x14ac:dyDescent="0.3">
      <c r="A43" s="9">
        <v>39</v>
      </c>
      <c r="B43" s="9" t="s">
        <v>14</v>
      </c>
      <c r="C43" s="9" t="s">
        <v>238</v>
      </c>
      <c r="D43" s="9">
        <v>2</v>
      </c>
      <c r="E43" s="4" t="s">
        <v>236</v>
      </c>
      <c r="F43" s="4" t="s">
        <v>239</v>
      </c>
      <c r="G43" s="4" t="s">
        <v>240</v>
      </c>
      <c r="H43" s="4" t="s">
        <v>241</v>
      </c>
      <c r="I43" s="4" t="s">
        <v>242</v>
      </c>
      <c r="J43" s="4"/>
      <c r="K43" s="4" t="s">
        <v>243</v>
      </c>
      <c r="L43" s="4"/>
      <c r="M43" s="4"/>
    </row>
    <row r="44" spans="1:13" ht="14.25" customHeight="1" x14ac:dyDescent="0.3">
      <c r="A44" s="9">
        <v>40</v>
      </c>
      <c r="B44" s="9" t="s">
        <v>14</v>
      </c>
      <c r="C44" s="9" t="s">
        <v>244</v>
      </c>
      <c r="D44" s="9">
        <v>2</v>
      </c>
      <c r="E44" s="4" t="s">
        <v>236</v>
      </c>
      <c r="F44" s="4" t="s">
        <v>245</v>
      </c>
      <c r="G44" s="4" t="s">
        <v>246</v>
      </c>
      <c r="H44" s="4" t="s">
        <v>247</v>
      </c>
      <c r="I44" s="4" t="s">
        <v>248</v>
      </c>
      <c r="J44" s="4"/>
      <c r="K44" s="4" t="s">
        <v>249</v>
      </c>
      <c r="L44" s="4"/>
      <c r="M44" s="4" t="s">
        <v>250</v>
      </c>
    </row>
    <row r="45" spans="1:13" ht="14.25" customHeight="1" x14ac:dyDescent="0.3">
      <c r="A45" s="7">
        <v>41</v>
      </c>
      <c r="B45" s="7" t="s">
        <v>59</v>
      </c>
      <c r="C45" s="7" t="s">
        <v>251</v>
      </c>
      <c r="D45" s="7">
        <v>1</v>
      </c>
      <c r="E45" s="8" t="s">
        <v>252</v>
      </c>
      <c r="F45" s="8"/>
      <c r="G45" s="8"/>
      <c r="H45" s="8"/>
      <c r="I45" s="8"/>
      <c r="J45" s="8"/>
      <c r="K45" s="8"/>
      <c r="L45" s="8" t="s">
        <v>253</v>
      </c>
      <c r="M45" s="8"/>
    </row>
    <row r="46" spans="1:13" ht="39" customHeight="1" x14ac:dyDescent="0.3">
      <c r="A46" s="9">
        <v>42</v>
      </c>
      <c r="B46" s="9" t="s">
        <v>59</v>
      </c>
      <c r="C46" s="9" t="s">
        <v>254</v>
      </c>
      <c r="D46" s="9">
        <v>2</v>
      </c>
      <c r="E46" s="4" t="s">
        <v>252</v>
      </c>
      <c r="F46" s="4" t="s">
        <v>255</v>
      </c>
      <c r="G46" s="4" t="s">
        <v>256</v>
      </c>
      <c r="H46" s="4" t="s">
        <v>257</v>
      </c>
      <c r="I46" s="4" t="s">
        <v>258</v>
      </c>
      <c r="J46" s="4"/>
      <c r="K46" s="4" t="s">
        <v>259</v>
      </c>
      <c r="L46" s="4"/>
      <c r="M46" s="4" t="s">
        <v>260</v>
      </c>
    </row>
    <row r="47" spans="1:13" ht="14.25" customHeight="1" x14ac:dyDescent="0.3">
      <c r="A47" s="9">
        <v>43</v>
      </c>
      <c r="B47" s="9" t="s">
        <v>59</v>
      </c>
      <c r="C47" s="9" t="s">
        <v>261</v>
      </c>
      <c r="D47" s="9">
        <v>2</v>
      </c>
      <c r="E47" s="4" t="s">
        <v>252</v>
      </c>
      <c r="F47" s="4" t="s">
        <v>262</v>
      </c>
      <c r="G47" s="4" t="s">
        <v>263</v>
      </c>
      <c r="H47" s="4" t="s">
        <v>264</v>
      </c>
      <c r="I47" s="4" t="s">
        <v>265</v>
      </c>
      <c r="J47" s="4"/>
      <c r="K47" s="4" t="s">
        <v>266</v>
      </c>
      <c r="L47" s="4"/>
      <c r="M47" s="4"/>
    </row>
    <row r="48" spans="1:13" ht="14.25" customHeight="1" x14ac:dyDescent="0.3">
      <c r="A48" s="7">
        <v>44</v>
      </c>
      <c r="B48" s="7" t="s">
        <v>59</v>
      </c>
      <c r="C48" s="7" t="s">
        <v>267</v>
      </c>
      <c r="D48" s="7">
        <v>1</v>
      </c>
      <c r="E48" s="8" t="s">
        <v>268</v>
      </c>
      <c r="F48" s="8"/>
      <c r="G48" s="8"/>
      <c r="H48" s="8"/>
      <c r="I48" s="8"/>
      <c r="J48" s="8"/>
      <c r="K48" s="8"/>
      <c r="L48" s="8" t="s">
        <v>107</v>
      </c>
      <c r="M48" s="8"/>
    </row>
    <row r="49" spans="1:13" ht="39" customHeight="1" x14ac:dyDescent="0.3">
      <c r="A49" s="9">
        <v>45</v>
      </c>
      <c r="B49" s="9" t="s">
        <v>59</v>
      </c>
      <c r="C49" s="9" t="s">
        <v>269</v>
      </c>
      <c r="D49" s="9">
        <v>2</v>
      </c>
      <c r="E49" s="4" t="s">
        <v>268</v>
      </c>
      <c r="F49" s="4" t="s">
        <v>117</v>
      </c>
      <c r="G49" s="4" t="s">
        <v>270</v>
      </c>
      <c r="H49" s="4" t="s">
        <v>271</v>
      </c>
      <c r="I49" s="4" t="s">
        <v>272</v>
      </c>
      <c r="J49" s="4" t="s">
        <v>273</v>
      </c>
      <c r="K49" s="4" t="s">
        <v>274</v>
      </c>
      <c r="L49" s="4"/>
      <c r="M49" s="4" t="s">
        <v>275</v>
      </c>
    </row>
    <row r="50" spans="1:13" ht="14.25" customHeight="1" x14ac:dyDescent="0.3">
      <c r="A50" s="9">
        <v>46</v>
      </c>
      <c r="B50" s="9" t="s">
        <v>59</v>
      </c>
      <c r="C50" s="9" t="s">
        <v>276</v>
      </c>
      <c r="D50" s="9">
        <v>2</v>
      </c>
      <c r="E50" s="4" t="s">
        <v>268</v>
      </c>
      <c r="F50" s="4" t="s">
        <v>132</v>
      </c>
      <c r="G50" s="4" t="s">
        <v>277</v>
      </c>
      <c r="H50" s="4" t="s">
        <v>278</v>
      </c>
      <c r="I50" s="4" t="s">
        <v>279</v>
      </c>
      <c r="J50" s="4"/>
      <c r="K50" s="4" t="s">
        <v>280</v>
      </c>
      <c r="L50" s="4"/>
      <c r="M50" s="4"/>
    </row>
    <row r="51" spans="1:13" ht="14.25" customHeight="1" x14ac:dyDescent="0.3">
      <c r="A51" s="7">
        <v>47</v>
      </c>
      <c r="B51" s="7" t="s">
        <v>59</v>
      </c>
      <c r="C51" s="7" t="s">
        <v>281</v>
      </c>
      <c r="D51" s="7">
        <v>1</v>
      </c>
      <c r="E51" s="8" t="s">
        <v>282</v>
      </c>
      <c r="F51" s="8"/>
      <c r="G51" s="8"/>
      <c r="H51" s="8"/>
      <c r="I51" s="8"/>
      <c r="J51" s="8"/>
      <c r="K51" s="8"/>
      <c r="L51" s="8" t="s">
        <v>57</v>
      </c>
      <c r="M51" s="8"/>
    </row>
    <row r="52" spans="1:13" ht="39" customHeight="1" x14ac:dyDescent="0.3">
      <c r="A52" s="9">
        <v>48</v>
      </c>
      <c r="B52" s="9" t="s">
        <v>59</v>
      </c>
      <c r="C52" s="9" t="s">
        <v>283</v>
      </c>
      <c r="D52" s="9">
        <v>2</v>
      </c>
      <c r="E52" s="4" t="s">
        <v>282</v>
      </c>
      <c r="F52" s="4" t="s">
        <v>284</v>
      </c>
      <c r="G52" s="4" t="s">
        <v>285</v>
      </c>
      <c r="H52" s="4" t="s">
        <v>264</v>
      </c>
      <c r="I52" s="4" t="s">
        <v>286</v>
      </c>
      <c r="J52" s="4"/>
      <c r="K52" s="4" t="s">
        <v>287</v>
      </c>
      <c r="L52" s="4"/>
      <c r="M52" s="4"/>
    </row>
    <row r="53" spans="1:13" ht="39" customHeight="1" x14ac:dyDescent="0.3">
      <c r="A53" s="9">
        <v>49</v>
      </c>
      <c r="B53" s="9" t="s">
        <v>59</v>
      </c>
      <c r="C53" s="9" t="s">
        <v>288</v>
      </c>
      <c r="D53" s="9">
        <v>2</v>
      </c>
      <c r="E53" s="4" t="s">
        <v>282</v>
      </c>
      <c r="F53" s="4" t="s">
        <v>88</v>
      </c>
      <c r="G53" s="4" t="s">
        <v>289</v>
      </c>
      <c r="H53" s="4" t="s">
        <v>290</v>
      </c>
      <c r="I53" s="4" t="s">
        <v>291</v>
      </c>
      <c r="J53" s="4" t="s">
        <v>292</v>
      </c>
      <c r="K53" s="4" t="s">
        <v>293</v>
      </c>
      <c r="L53" s="4"/>
      <c r="M53" s="4" t="s">
        <v>294</v>
      </c>
    </row>
    <row r="54" spans="1:13" ht="14.25" customHeight="1" x14ac:dyDescent="0.3">
      <c r="A54" s="7">
        <v>50</v>
      </c>
      <c r="B54" s="7" t="s">
        <v>59</v>
      </c>
      <c r="C54" s="7" t="s">
        <v>295</v>
      </c>
      <c r="D54" s="7">
        <v>1</v>
      </c>
      <c r="E54" s="8" t="s">
        <v>139</v>
      </c>
      <c r="F54" s="8"/>
      <c r="G54" s="8"/>
      <c r="H54" s="8"/>
      <c r="I54" s="8"/>
      <c r="J54" s="8"/>
      <c r="K54" s="8"/>
      <c r="L54" s="8" t="s">
        <v>140</v>
      </c>
      <c r="M54" s="8"/>
    </row>
    <row r="55" spans="1:13" ht="26.25" customHeight="1" x14ac:dyDescent="0.3">
      <c r="A55" s="9">
        <v>51</v>
      </c>
      <c r="B55" s="9" t="s">
        <v>59</v>
      </c>
      <c r="C55" s="9" t="s">
        <v>296</v>
      </c>
      <c r="D55" s="9">
        <v>2</v>
      </c>
      <c r="E55" s="4" t="s">
        <v>139</v>
      </c>
      <c r="F55" s="4" t="s">
        <v>297</v>
      </c>
      <c r="G55" s="4" t="s">
        <v>298</v>
      </c>
      <c r="H55" s="4" t="s">
        <v>299</v>
      </c>
      <c r="I55" s="4" t="s">
        <v>300</v>
      </c>
      <c r="J55" s="4"/>
      <c r="K55" s="4" t="s">
        <v>301</v>
      </c>
      <c r="L55" s="4"/>
      <c r="M55" s="4" t="s">
        <v>302</v>
      </c>
    </row>
    <row r="56" spans="1:13" ht="14.25" customHeight="1" x14ac:dyDescent="0.3">
      <c r="A56" s="7">
        <v>52</v>
      </c>
      <c r="B56" s="7" t="s">
        <v>59</v>
      </c>
      <c r="C56" s="7" t="s">
        <v>303</v>
      </c>
      <c r="D56" s="7">
        <v>1</v>
      </c>
      <c r="E56" s="8" t="s">
        <v>150</v>
      </c>
      <c r="F56" s="8"/>
      <c r="G56" s="8"/>
      <c r="H56" s="8"/>
      <c r="I56" s="8"/>
      <c r="J56" s="8"/>
      <c r="K56" s="8"/>
      <c r="L56" s="8" t="s">
        <v>151</v>
      </c>
      <c r="M56" s="8"/>
    </row>
    <row r="57" spans="1:13" ht="39" customHeight="1" x14ac:dyDescent="0.3">
      <c r="A57" s="9">
        <v>53</v>
      </c>
      <c r="B57" s="9" t="s">
        <v>59</v>
      </c>
      <c r="C57" s="9" t="s">
        <v>304</v>
      </c>
      <c r="D57" s="9">
        <v>2</v>
      </c>
      <c r="E57" s="4" t="s">
        <v>150</v>
      </c>
      <c r="F57" s="4" t="s">
        <v>153</v>
      </c>
      <c r="G57" s="4" t="s">
        <v>305</v>
      </c>
      <c r="H57" s="4" t="s">
        <v>306</v>
      </c>
      <c r="I57" s="4" t="s">
        <v>156</v>
      </c>
      <c r="J57" s="4" t="s">
        <v>157</v>
      </c>
      <c r="K57" s="4" t="s">
        <v>307</v>
      </c>
      <c r="L57" s="4"/>
      <c r="M57" s="4" t="s">
        <v>308</v>
      </c>
    </row>
    <row r="58" spans="1:13" ht="14.25" customHeight="1" x14ac:dyDescent="0.3">
      <c r="A58" s="7">
        <v>54</v>
      </c>
      <c r="B58" s="7" t="s">
        <v>59</v>
      </c>
      <c r="C58" s="7" t="s">
        <v>309</v>
      </c>
      <c r="D58" s="7">
        <v>1</v>
      </c>
      <c r="E58" s="8" t="s">
        <v>236</v>
      </c>
      <c r="F58" s="8"/>
      <c r="G58" s="8"/>
      <c r="H58" s="8"/>
      <c r="I58" s="8"/>
      <c r="J58" s="8"/>
      <c r="K58" s="8"/>
      <c r="L58" s="8" t="s">
        <v>237</v>
      </c>
      <c r="M58" s="8"/>
    </row>
    <row r="59" spans="1:13" ht="14.25" customHeight="1" x14ac:dyDescent="0.3">
      <c r="A59" s="9">
        <v>55</v>
      </c>
      <c r="B59" s="9" t="s">
        <v>59</v>
      </c>
      <c r="C59" s="9" t="s">
        <v>310</v>
      </c>
      <c r="D59" s="9">
        <v>2</v>
      </c>
      <c r="E59" s="4" t="s">
        <v>236</v>
      </c>
      <c r="F59" s="4" t="s">
        <v>239</v>
      </c>
      <c r="G59" s="4" t="s">
        <v>240</v>
      </c>
      <c r="H59" s="4" t="s">
        <v>241</v>
      </c>
      <c r="I59" s="4" t="s">
        <v>242</v>
      </c>
      <c r="J59" s="4"/>
      <c r="K59" s="4" t="s">
        <v>243</v>
      </c>
      <c r="L59" s="4"/>
      <c r="M59" s="4"/>
    </row>
    <row r="60" spans="1:13" ht="14.25" customHeight="1" x14ac:dyDescent="0.3">
      <c r="A60" s="9">
        <v>56</v>
      </c>
      <c r="B60" s="9" t="s">
        <v>59</v>
      </c>
      <c r="C60" s="9" t="s">
        <v>311</v>
      </c>
      <c r="D60" s="9">
        <v>2</v>
      </c>
      <c r="E60" s="4" t="s">
        <v>236</v>
      </c>
      <c r="F60" s="4" t="s">
        <v>245</v>
      </c>
      <c r="G60" s="4" t="s">
        <v>246</v>
      </c>
      <c r="H60" s="4" t="s">
        <v>247</v>
      </c>
      <c r="I60" s="4" t="s">
        <v>248</v>
      </c>
      <c r="J60" s="4"/>
      <c r="K60" s="4" t="s">
        <v>249</v>
      </c>
      <c r="L60" s="4"/>
      <c r="M60" s="4"/>
    </row>
    <row r="61" spans="1:13" ht="26.25" customHeight="1" x14ac:dyDescent="0.3">
      <c r="A61" s="9">
        <v>57</v>
      </c>
      <c r="B61" s="9" t="s">
        <v>312</v>
      </c>
      <c r="C61" s="9" t="s">
        <v>313</v>
      </c>
      <c r="D61" s="9">
        <v>2</v>
      </c>
      <c r="E61" s="4" t="s">
        <v>312</v>
      </c>
      <c r="F61" s="4" t="s">
        <v>314</v>
      </c>
      <c r="G61" s="4" t="s">
        <v>315</v>
      </c>
      <c r="H61" s="4" t="s">
        <v>316</v>
      </c>
      <c r="I61" s="4" t="s">
        <v>317</v>
      </c>
      <c r="J61" s="4"/>
      <c r="K61" s="4" t="s">
        <v>318</v>
      </c>
      <c r="L61" s="4"/>
      <c r="M61" s="4" t="s">
        <v>319</v>
      </c>
    </row>
    <row r="62" spans="1:13" ht="26.25" customHeight="1" x14ac:dyDescent="0.3">
      <c r="A62" s="9">
        <v>58</v>
      </c>
      <c r="B62" s="9" t="s">
        <v>312</v>
      </c>
      <c r="C62" s="9" t="s">
        <v>320</v>
      </c>
      <c r="D62" s="9">
        <v>2</v>
      </c>
      <c r="E62" s="4" t="s">
        <v>312</v>
      </c>
      <c r="F62" s="4" t="s">
        <v>321</v>
      </c>
      <c r="G62" s="4" t="s">
        <v>322</v>
      </c>
      <c r="H62" s="4" t="s">
        <v>323</v>
      </c>
      <c r="I62" s="4" t="s">
        <v>324</v>
      </c>
      <c r="J62" s="4" t="s">
        <v>157</v>
      </c>
      <c r="K62" s="4"/>
      <c r="L62" s="4"/>
      <c r="M62" s="4" t="s">
        <v>325</v>
      </c>
    </row>
    <row r="64" spans="1:13" ht="14.25" customHeight="1" x14ac:dyDescent="0.3">
      <c r="E64" s="5" t="s">
        <v>326</v>
      </c>
    </row>
    <row r="65" spans="5:6" ht="14.25" customHeight="1" x14ac:dyDescent="0.3">
      <c r="E65" s="10" t="s">
        <v>327</v>
      </c>
      <c r="F65" s="11">
        <f>COUNTIFS($B$5:$B$62,"Chủ nhà",$D$5:$D$62,1)</f>
        <v>10</v>
      </c>
    </row>
    <row r="66" spans="5:6" ht="14.25" customHeight="1" x14ac:dyDescent="0.3">
      <c r="E66" s="10" t="s">
        <v>328</v>
      </c>
      <c r="F66" s="11">
        <f>COUNTIFS($B$5:$B$62,"Chủ nhà",$D$5:$D$62,2)</f>
        <v>30</v>
      </c>
    </row>
    <row r="67" spans="5:6" ht="14.25" customHeight="1" x14ac:dyDescent="0.3">
      <c r="E67" s="10" t="s">
        <v>329</v>
      </c>
      <c r="F67" s="11">
        <f>COUNTIFS($B$5:$B$62,"Khách thuê",$D$5:$D$62,1)</f>
        <v>6</v>
      </c>
    </row>
    <row r="68" spans="5:6" ht="14.25" customHeight="1" x14ac:dyDescent="0.3">
      <c r="E68" s="10" t="s">
        <v>330</v>
      </c>
      <c r="F68" s="11">
        <f>COUNTIFS($B$5:$B$62,"Khách thuê",$D$5:$D$62,2)</f>
        <v>10</v>
      </c>
    </row>
    <row r="69" spans="5:6" ht="14.25" customHeight="1" x14ac:dyDescent="0.3">
      <c r="E69" s="10" t="s">
        <v>312</v>
      </c>
      <c r="F69" s="11">
        <f>COUNTIFS($B$5:$B$62,"Ngoài sidebar",$D$5:$D$62,2)</f>
        <v>2</v>
      </c>
    </row>
    <row r="70" spans="5:6" ht="14.25" customHeight="1" x14ac:dyDescent="0.3">
      <c r="E70" s="10" t="s">
        <v>331</v>
      </c>
      <c r="F70" s="12">
        <f>COUNTIFS($D$5:$D$62,2,$I$5:$I$62,"")</f>
        <v>0</v>
      </c>
    </row>
  </sheetData>
  <autoFilter ref="A4:M62"/>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6"/>
  <sheetViews>
    <sheetView showGridLines="0" zoomScale="85" zoomScaleNormal="85" workbookViewId="0">
      <pane ySplit="12" topLeftCell="A49" activePane="bottomLeft" state="frozen"/>
      <selection pane="bottomLeft" activeCell="D60" sqref="D60"/>
    </sheetView>
  </sheetViews>
  <sheetFormatPr defaultColWidth="8.6640625" defaultRowHeight="14.4" x14ac:dyDescent="0.3"/>
  <cols>
    <col min="1" max="1" width="5" style="1" customWidth="1"/>
    <col min="2" max="3" width="22" style="1" customWidth="1"/>
    <col min="4" max="4" width="26" style="1" customWidth="1"/>
    <col min="5" max="5" width="17" style="1" customWidth="1"/>
    <col min="6" max="6" width="40" style="1" customWidth="1"/>
    <col min="7" max="7" width="15" style="1" customWidth="1"/>
    <col min="8" max="8" width="40" style="1" customWidth="1"/>
    <col min="9" max="11" width="12" style="1" customWidth="1"/>
    <col min="12" max="12" width="40" style="1" customWidth="1"/>
    <col min="13" max="13" width="9" style="1" customWidth="1"/>
  </cols>
  <sheetData>
    <row r="1" spans="1:13" ht="17.25" customHeight="1" x14ac:dyDescent="0.3">
      <c r="A1" s="2" t="s">
        <v>424</v>
      </c>
    </row>
    <row r="2" spans="1:13" ht="14.25" customHeight="1" x14ac:dyDescent="0.3">
      <c r="A2" s="3" t="s">
        <v>425</v>
      </c>
    </row>
    <row r="4" spans="1:13" ht="14.25" customHeight="1" x14ac:dyDescent="0.3">
      <c r="A4" s="5" t="s">
        <v>426</v>
      </c>
    </row>
    <row r="5" spans="1:13" ht="14.25" customHeight="1" x14ac:dyDescent="0.3">
      <c r="D5" s="6" t="s">
        <v>427</v>
      </c>
      <c r="E5" s="6" t="s">
        <v>14</v>
      </c>
      <c r="F5" s="6" t="s">
        <v>59</v>
      </c>
      <c r="G5" s="6" t="s">
        <v>360</v>
      </c>
    </row>
    <row r="6" spans="1:13" ht="14.25" customHeight="1" x14ac:dyDescent="0.3">
      <c r="D6" s="13" t="s">
        <v>428</v>
      </c>
      <c r="E6" s="9">
        <f t="shared" ref="E6:G10" si="0">COUNTIF(I$13:I$86,$D6)</f>
        <v>65</v>
      </c>
      <c r="F6" s="9">
        <f t="shared" si="0"/>
        <v>2</v>
      </c>
      <c r="G6" s="9">
        <f t="shared" si="0"/>
        <v>0</v>
      </c>
    </row>
    <row r="7" spans="1:13" ht="14.25" customHeight="1" x14ac:dyDescent="0.3">
      <c r="D7" s="13" t="s">
        <v>429</v>
      </c>
      <c r="E7" s="9">
        <f t="shared" si="0"/>
        <v>1</v>
      </c>
      <c r="F7" s="9">
        <f t="shared" si="0"/>
        <v>15</v>
      </c>
      <c r="G7" s="9">
        <f t="shared" si="0"/>
        <v>0</v>
      </c>
    </row>
    <row r="8" spans="1:13" ht="14.25" customHeight="1" x14ac:dyDescent="0.3">
      <c r="D8" s="13" t="s">
        <v>430</v>
      </c>
      <c r="E8" s="9">
        <f t="shared" si="0"/>
        <v>4</v>
      </c>
      <c r="F8" s="9">
        <f t="shared" si="0"/>
        <v>3</v>
      </c>
      <c r="G8" s="9">
        <f t="shared" si="0"/>
        <v>0</v>
      </c>
    </row>
    <row r="9" spans="1:13" ht="14.25" customHeight="1" x14ac:dyDescent="0.3">
      <c r="D9" s="13" t="s">
        <v>361</v>
      </c>
      <c r="E9" s="9">
        <f t="shared" si="0"/>
        <v>0</v>
      </c>
      <c r="F9" s="9">
        <f t="shared" si="0"/>
        <v>0</v>
      </c>
      <c r="G9" s="9">
        <f t="shared" si="0"/>
        <v>4</v>
      </c>
    </row>
    <row r="10" spans="1:13" ht="14.25" customHeight="1" x14ac:dyDescent="0.3">
      <c r="D10" s="13" t="s">
        <v>246</v>
      </c>
      <c r="E10" s="9">
        <f t="shared" si="0"/>
        <v>4</v>
      </c>
      <c r="F10" s="9">
        <f t="shared" si="0"/>
        <v>54</v>
      </c>
      <c r="G10" s="9">
        <f t="shared" si="0"/>
        <v>70</v>
      </c>
    </row>
    <row r="12" spans="1:13" ht="26.25" customHeight="1" x14ac:dyDescent="0.3">
      <c r="A12" s="6" t="s">
        <v>1</v>
      </c>
      <c r="B12" s="6" t="s">
        <v>431</v>
      </c>
      <c r="C12" s="6" t="s">
        <v>5</v>
      </c>
      <c r="D12" s="6" t="s">
        <v>6</v>
      </c>
      <c r="E12" s="6" t="s">
        <v>3</v>
      </c>
      <c r="F12" s="6" t="s">
        <v>432</v>
      </c>
      <c r="G12" s="6" t="s">
        <v>9</v>
      </c>
      <c r="H12" s="6" t="s">
        <v>433</v>
      </c>
      <c r="I12" s="6" t="s">
        <v>14</v>
      </c>
      <c r="J12" s="6" t="s">
        <v>59</v>
      </c>
      <c r="K12" s="6" t="s">
        <v>360</v>
      </c>
      <c r="L12" s="6" t="s">
        <v>434</v>
      </c>
      <c r="M12" s="6" t="s">
        <v>435</v>
      </c>
    </row>
    <row r="13" spans="1:13" ht="26.25" customHeight="1" x14ac:dyDescent="0.3">
      <c r="A13" s="9">
        <v>1</v>
      </c>
      <c r="B13" s="4" t="s">
        <v>436</v>
      </c>
      <c r="C13" s="4" t="s">
        <v>437</v>
      </c>
      <c r="D13" s="4" t="s">
        <v>314</v>
      </c>
      <c r="E13" s="4" t="s">
        <v>313</v>
      </c>
      <c r="F13" s="4" t="s">
        <v>438</v>
      </c>
      <c r="G13" s="4" t="s">
        <v>248</v>
      </c>
      <c r="H13" s="4" t="s">
        <v>332</v>
      </c>
      <c r="I13" s="9" t="s">
        <v>428</v>
      </c>
      <c r="J13" s="9" t="s">
        <v>428</v>
      </c>
      <c r="K13" s="9" t="s">
        <v>246</v>
      </c>
      <c r="L13" s="4" t="s">
        <v>439</v>
      </c>
      <c r="M13" s="9"/>
    </row>
    <row r="14" spans="1:13" ht="26.25" customHeight="1" x14ac:dyDescent="0.3">
      <c r="A14" s="9">
        <v>2</v>
      </c>
      <c r="B14" s="4" t="s">
        <v>440</v>
      </c>
      <c r="C14" s="4" t="s">
        <v>236</v>
      </c>
      <c r="D14" s="4" t="s">
        <v>239</v>
      </c>
      <c r="E14" s="4" t="s">
        <v>441</v>
      </c>
      <c r="F14" s="4" t="s">
        <v>442</v>
      </c>
      <c r="G14" s="4" t="s">
        <v>242</v>
      </c>
      <c r="H14" s="4" t="s">
        <v>333</v>
      </c>
      <c r="I14" s="9" t="s">
        <v>428</v>
      </c>
      <c r="J14" s="9" t="s">
        <v>429</v>
      </c>
      <c r="K14" s="9" t="s">
        <v>246</v>
      </c>
      <c r="L14" s="4" t="s">
        <v>443</v>
      </c>
      <c r="M14" s="9"/>
    </row>
    <row r="15" spans="1:13" ht="14.25" customHeight="1" x14ac:dyDescent="0.3">
      <c r="A15" s="9">
        <v>3</v>
      </c>
      <c r="B15" s="4" t="s">
        <v>444</v>
      </c>
      <c r="C15" s="4" t="s">
        <v>199</v>
      </c>
      <c r="D15" s="4" t="s">
        <v>202</v>
      </c>
      <c r="E15" s="4" t="s">
        <v>201</v>
      </c>
      <c r="F15" s="4" t="s">
        <v>445</v>
      </c>
      <c r="G15" s="4" t="s">
        <v>205</v>
      </c>
      <c r="H15" s="4" t="s">
        <v>246</v>
      </c>
      <c r="I15" s="9" t="s">
        <v>428</v>
      </c>
      <c r="J15" s="9" t="s">
        <v>246</v>
      </c>
      <c r="K15" s="9" t="s">
        <v>246</v>
      </c>
      <c r="L15" s="4"/>
      <c r="M15" s="9"/>
    </row>
    <row r="16" spans="1:13" ht="26.25" customHeight="1" x14ac:dyDescent="0.3">
      <c r="A16" s="9">
        <v>4</v>
      </c>
      <c r="B16" s="4" t="s">
        <v>446</v>
      </c>
      <c r="C16" s="4" t="s">
        <v>199</v>
      </c>
      <c r="D16" s="4" t="s">
        <v>202</v>
      </c>
      <c r="E16" s="4" t="s">
        <v>201</v>
      </c>
      <c r="F16" s="4" t="s">
        <v>447</v>
      </c>
      <c r="G16" s="4" t="s">
        <v>205</v>
      </c>
      <c r="H16" s="4" t="s">
        <v>338</v>
      </c>
      <c r="I16" s="9" t="s">
        <v>428</v>
      </c>
      <c r="J16" s="9" t="s">
        <v>246</v>
      </c>
      <c r="K16" s="9" t="s">
        <v>246</v>
      </c>
      <c r="L16" s="4" t="s">
        <v>448</v>
      </c>
      <c r="M16" s="9"/>
    </row>
    <row r="17" spans="1:13" ht="14.25" customHeight="1" x14ac:dyDescent="0.3">
      <c r="A17" s="9">
        <v>5</v>
      </c>
      <c r="B17" s="4" t="s">
        <v>449</v>
      </c>
      <c r="C17" s="4" t="s">
        <v>252</v>
      </c>
      <c r="D17" s="4" t="s">
        <v>262</v>
      </c>
      <c r="E17" s="4" t="s">
        <v>261</v>
      </c>
      <c r="F17" s="4" t="s">
        <v>450</v>
      </c>
      <c r="G17" s="4" t="s">
        <v>265</v>
      </c>
      <c r="H17" s="4" t="s">
        <v>246</v>
      </c>
      <c r="I17" s="9" t="s">
        <v>428</v>
      </c>
      <c r="J17" s="9" t="s">
        <v>428</v>
      </c>
      <c r="K17" s="9" t="s">
        <v>246</v>
      </c>
      <c r="L17" s="4"/>
      <c r="M17" s="9"/>
    </row>
    <row r="18" spans="1:13" ht="26.25" customHeight="1" x14ac:dyDescent="0.3">
      <c r="A18" s="9">
        <v>6</v>
      </c>
      <c r="B18" s="4" t="s">
        <v>451</v>
      </c>
      <c r="C18" s="4" t="s">
        <v>199</v>
      </c>
      <c r="D18" s="4" t="s">
        <v>209</v>
      </c>
      <c r="E18" s="4" t="s">
        <v>208</v>
      </c>
      <c r="F18" s="4" t="s">
        <v>452</v>
      </c>
      <c r="G18" s="4" t="s">
        <v>211</v>
      </c>
      <c r="H18" s="4" t="s">
        <v>339</v>
      </c>
      <c r="I18" s="9" t="s">
        <v>428</v>
      </c>
      <c r="J18" s="9" t="s">
        <v>246</v>
      </c>
      <c r="K18" s="9" t="s">
        <v>246</v>
      </c>
      <c r="L18" s="4" t="s">
        <v>453</v>
      </c>
      <c r="M18" s="9" t="s">
        <v>454</v>
      </c>
    </row>
    <row r="19" spans="1:13" ht="14.25" customHeight="1" x14ac:dyDescent="0.3">
      <c r="A19" s="9">
        <v>7</v>
      </c>
      <c r="B19" s="4" t="s">
        <v>455</v>
      </c>
      <c r="C19" s="4" t="s">
        <v>199</v>
      </c>
      <c r="D19" s="4" t="s">
        <v>215</v>
      </c>
      <c r="E19" s="4" t="s">
        <v>214</v>
      </c>
      <c r="F19" s="4" t="s">
        <v>456</v>
      </c>
      <c r="G19" s="4" t="s">
        <v>334</v>
      </c>
      <c r="H19" s="4" t="s">
        <v>246</v>
      </c>
      <c r="I19" s="9" t="s">
        <v>428</v>
      </c>
      <c r="J19" s="9" t="s">
        <v>246</v>
      </c>
      <c r="K19" s="9" t="s">
        <v>246</v>
      </c>
      <c r="L19" s="4"/>
      <c r="M19" s="9"/>
    </row>
    <row r="20" spans="1:13" ht="26.25" customHeight="1" x14ac:dyDescent="0.3">
      <c r="A20" s="9">
        <v>8</v>
      </c>
      <c r="B20" s="4" t="s">
        <v>457</v>
      </c>
      <c r="C20" s="4" t="s">
        <v>458</v>
      </c>
      <c r="D20" s="4" t="s">
        <v>459</v>
      </c>
      <c r="E20" s="4" t="s">
        <v>460</v>
      </c>
      <c r="F20" s="4" t="s">
        <v>461</v>
      </c>
      <c r="G20" s="4" t="s">
        <v>462</v>
      </c>
      <c r="H20" s="4" t="s">
        <v>463</v>
      </c>
      <c r="I20" s="9" t="s">
        <v>428</v>
      </c>
      <c r="J20" s="9" t="s">
        <v>246</v>
      </c>
      <c r="K20" s="9" t="s">
        <v>246</v>
      </c>
      <c r="L20" s="4" t="s">
        <v>464</v>
      </c>
      <c r="M20" s="9"/>
    </row>
    <row r="21" spans="1:13" ht="14.25" customHeight="1" x14ac:dyDescent="0.3">
      <c r="A21" s="9">
        <v>9</v>
      </c>
      <c r="B21" s="4" t="s">
        <v>465</v>
      </c>
      <c r="C21" s="4" t="s">
        <v>199</v>
      </c>
      <c r="D21" s="4" t="s">
        <v>215</v>
      </c>
      <c r="E21" s="4" t="s">
        <v>214</v>
      </c>
      <c r="F21" s="4" t="s">
        <v>466</v>
      </c>
      <c r="G21" s="4" t="s">
        <v>334</v>
      </c>
      <c r="H21" s="4" t="s">
        <v>467</v>
      </c>
      <c r="I21" s="9" t="s">
        <v>428</v>
      </c>
      <c r="J21" s="9" t="s">
        <v>246</v>
      </c>
      <c r="K21" s="9" t="s">
        <v>246</v>
      </c>
      <c r="L21" s="4" t="s">
        <v>468</v>
      </c>
      <c r="M21" s="9"/>
    </row>
    <row r="22" spans="1:13" ht="26.25" customHeight="1" x14ac:dyDescent="0.3">
      <c r="A22" s="9">
        <v>10</v>
      </c>
      <c r="B22" s="4" t="s">
        <v>469</v>
      </c>
      <c r="C22" s="4" t="s">
        <v>199</v>
      </c>
      <c r="D22" s="4" t="s">
        <v>215</v>
      </c>
      <c r="E22" s="4" t="s">
        <v>214</v>
      </c>
      <c r="F22" s="4" t="s">
        <v>336</v>
      </c>
      <c r="G22" s="4" t="s">
        <v>335</v>
      </c>
      <c r="H22" s="4" t="s">
        <v>337</v>
      </c>
      <c r="I22" s="9" t="s">
        <v>428</v>
      </c>
      <c r="J22" s="9" t="s">
        <v>246</v>
      </c>
      <c r="K22" s="9" t="s">
        <v>246</v>
      </c>
      <c r="L22" s="4" t="s">
        <v>470</v>
      </c>
      <c r="M22" s="9"/>
    </row>
    <row r="23" spans="1:13" ht="14.25" customHeight="1" x14ac:dyDescent="0.3">
      <c r="A23" s="9">
        <v>11</v>
      </c>
      <c r="B23" s="4" t="s">
        <v>471</v>
      </c>
      <c r="C23" s="4" t="s">
        <v>199</v>
      </c>
      <c r="D23" s="4" t="s">
        <v>222</v>
      </c>
      <c r="E23" s="4" t="s">
        <v>221</v>
      </c>
      <c r="F23" s="4" t="s">
        <v>472</v>
      </c>
      <c r="G23" s="4" t="s">
        <v>340</v>
      </c>
      <c r="H23" s="4" t="s">
        <v>341</v>
      </c>
      <c r="I23" s="9" t="s">
        <v>428</v>
      </c>
      <c r="J23" s="9" t="s">
        <v>246</v>
      </c>
      <c r="K23" s="9" t="s">
        <v>246</v>
      </c>
      <c r="L23" s="4" t="s">
        <v>473</v>
      </c>
      <c r="M23" s="9" t="s">
        <v>454</v>
      </c>
    </row>
    <row r="24" spans="1:13" ht="26.25" customHeight="1" x14ac:dyDescent="0.3">
      <c r="A24" s="9">
        <v>12</v>
      </c>
      <c r="B24" s="4" t="s">
        <v>474</v>
      </c>
      <c r="C24" s="4" t="s">
        <v>199</v>
      </c>
      <c r="D24" s="4" t="s">
        <v>229</v>
      </c>
      <c r="E24" s="4" t="s">
        <v>228</v>
      </c>
      <c r="F24" s="4" t="s">
        <v>475</v>
      </c>
      <c r="G24" s="4" t="s">
        <v>232</v>
      </c>
      <c r="H24" s="4" t="s">
        <v>342</v>
      </c>
      <c r="I24" s="9" t="s">
        <v>428</v>
      </c>
      <c r="J24" s="9" t="s">
        <v>246</v>
      </c>
      <c r="K24" s="9" t="s">
        <v>246</v>
      </c>
      <c r="L24" s="4" t="s">
        <v>476</v>
      </c>
      <c r="M24" s="9"/>
    </row>
    <row r="25" spans="1:13" ht="26.25" customHeight="1" x14ac:dyDescent="0.3">
      <c r="A25" s="9">
        <v>13</v>
      </c>
      <c r="B25" s="4" t="s">
        <v>477</v>
      </c>
      <c r="C25" s="4" t="s">
        <v>33</v>
      </c>
      <c r="D25" s="4" t="s">
        <v>478</v>
      </c>
      <c r="E25" s="4" t="s">
        <v>479</v>
      </c>
      <c r="F25" s="4" t="s">
        <v>480</v>
      </c>
      <c r="G25" s="4" t="s">
        <v>481</v>
      </c>
      <c r="H25" s="4" t="s">
        <v>347</v>
      </c>
      <c r="I25" s="9" t="s">
        <v>428</v>
      </c>
      <c r="J25" s="9" t="s">
        <v>246</v>
      </c>
      <c r="K25" s="9" t="s">
        <v>246</v>
      </c>
      <c r="L25" s="4"/>
      <c r="M25" s="9"/>
    </row>
    <row r="26" spans="1:13" ht="23.25" customHeight="1" x14ac:dyDescent="0.3">
      <c r="A26" s="9">
        <v>14</v>
      </c>
      <c r="B26" s="4" t="s">
        <v>482</v>
      </c>
      <c r="C26" s="4" t="s">
        <v>33</v>
      </c>
      <c r="D26" s="4" t="s">
        <v>36</v>
      </c>
      <c r="E26" s="4" t="s">
        <v>35</v>
      </c>
      <c r="F26" s="4" t="s">
        <v>483</v>
      </c>
      <c r="G26" s="4" t="s">
        <v>343</v>
      </c>
      <c r="H26" s="4" t="s">
        <v>484</v>
      </c>
      <c r="I26" s="9" t="s">
        <v>428</v>
      </c>
      <c r="J26" s="9" t="s">
        <v>246</v>
      </c>
      <c r="K26" s="9" t="s">
        <v>246</v>
      </c>
      <c r="L26" s="4" t="s">
        <v>485</v>
      </c>
      <c r="M26" s="9"/>
    </row>
    <row r="27" spans="1:13" ht="26.25" customHeight="1" x14ac:dyDescent="0.3">
      <c r="A27" s="9">
        <v>15</v>
      </c>
      <c r="B27" s="4" t="s">
        <v>486</v>
      </c>
      <c r="C27" s="4" t="s">
        <v>33</v>
      </c>
      <c r="D27" s="4" t="s">
        <v>36</v>
      </c>
      <c r="E27" s="4" t="s">
        <v>35</v>
      </c>
      <c r="F27" s="4" t="s">
        <v>487</v>
      </c>
      <c r="G27" s="4" t="s">
        <v>343</v>
      </c>
      <c r="H27" s="4" t="s">
        <v>488</v>
      </c>
      <c r="I27" s="9" t="s">
        <v>428</v>
      </c>
      <c r="J27" s="9" t="s">
        <v>246</v>
      </c>
      <c r="K27" s="9" t="s">
        <v>246</v>
      </c>
      <c r="L27" s="4" t="s">
        <v>489</v>
      </c>
      <c r="M27" s="9"/>
    </row>
    <row r="28" spans="1:13" ht="26.25" customHeight="1" x14ac:dyDescent="0.3">
      <c r="A28" s="9">
        <v>16</v>
      </c>
      <c r="B28" s="4" t="s">
        <v>490</v>
      </c>
      <c r="C28" s="4" t="s">
        <v>33</v>
      </c>
      <c r="D28" s="4" t="s">
        <v>491</v>
      </c>
      <c r="E28" s="4" t="s">
        <v>35</v>
      </c>
      <c r="F28" s="4" t="s">
        <v>492</v>
      </c>
      <c r="G28" s="4" t="s">
        <v>344</v>
      </c>
      <c r="H28" s="4" t="s">
        <v>345</v>
      </c>
      <c r="I28" s="9" t="s">
        <v>428</v>
      </c>
      <c r="J28" s="9" t="s">
        <v>246</v>
      </c>
      <c r="K28" s="9" t="s">
        <v>246</v>
      </c>
      <c r="L28" s="4"/>
      <c r="M28" s="9"/>
    </row>
    <row r="29" spans="1:13" ht="26.25" customHeight="1" x14ac:dyDescent="0.3">
      <c r="A29" s="9">
        <v>17</v>
      </c>
      <c r="B29" s="4" t="s">
        <v>493</v>
      </c>
      <c r="C29" s="4" t="s">
        <v>252</v>
      </c>
      <c r="D29" s="4" t="s">
        <v>255</v>
      </c>
      <c r="E29" s="4" t="s">
        <v>254</v>
      </c>
      <c r="F29" s="4" t="s">
        <v>494</v>
      </c>
      <c r="G29" s="4" t="s">
        <v>258</v>
      </c>
      <c r="H29" s="4" t="s">
        <v>246</v>
      </c>
      <c r="I29" s="9" t="s">
        <v>428</v>
      </c>
      <c r="J29" s="9" t="s">
        <v>429</v>
      </c>
      <c r="K29" s="9" t="s">
        <v>246</v>
      </c>
      <c r="L29" s="4" t="s">
        <v>495</v>
      </c>
      <c r="M29" s="9"/>
    </row>
    <row r="30" spans="1:13" ht="23.25" customHeight="1" x14ac:dyDescent="0.3">
      <c r="A30" s="9">
        <v>18</v>
      </c>
      <c r="B30" s="4" t="s">
        <v>496</v>
      </c>
      <c r="C30" s="4" t="s">
        <v>33</v>
      </c>
      <c r="D30" s="4" t="s">
        <v>43</v>
      </c>
      <c r="E30" s="4" t="s">
        <v>42</v>
      </c>
      <c r="F30" s="4" t="s">
        <v>497</v>
      </c>
      <c r="G30" s="4" t="s">
        <v>46</v>
      </c>
      <c r="H30" s="4" t="s">
        <v>346</v>
      </c>
      <c r="I30" s="9" t="s">
        <v>428</v>
      </c>
      <c r="J30" s="9" t="s">
        <v>246</v>
      </c>
      <c r="K30" s="9" t="s">
        <v>246</v>
      </c>
      <c r="L30" s="4" t="s">
        <v>498</v>
      </c>
      <c r="M30" s="9"/>
    </row>
    <row r="31" spans="1:13" ht="14.25" customHeight="1" x14ac:dyDescent="0.3">
      <c r="A31" s="9">
        <v>19</v>
      </c>
      <c r="B31" s="4" t="s">
        <v>499</v>
      </c>
      <c r="C31" s="4" t="s">
        <v>33</v>
      </c>
      <c r="D31" s="4" t="s">
        <v>50</v>
      </c>
      <c r="E31" s="4" t="s">
        <v>49</v>
      </c>
      <c r="F31" s="4" t="s">
        <v>500</v>
      </c>
      <c r="G31" s="4" t="s">
        <v>53</v>
      </c>
      <c r="H31" s="4" t="s">
        <v>346</v>
      </c>
      <c r="I31" s="9" t="s">
        <v>428</v>
      </c>
      <c r="J31" s="9" t="s">
        <v>246</v>
      </c>
      <c r="K31" s="9" t="s">
        <v>246</v>
      </c>
      <c r="L31" s="4"/>
      <c r="M31" s="9"/>
    </row>
    <row r="32" spans="1:13" ht="26.25" customHeight="1" x14ac:dyDescent="0.3">
      <c r="A32" s="9">
        <v>20</v>
      </c>
      <c r="B32" s="4" t="s">
        <v>501</v>
      </c>
      <c r="C32" s="4" t="s">
        <v>56</v>
      </c>
      <c r="D32" s="4" t="s">
        <v>59</v>
      </c>
      <c r="E32" s="4" t="s">
        <v>58</v>
      </c>
      <c r="F32" s="4" t="s">
        <v>502</v>
      </c>
      <c r="G32" s="4" t="s">
        <v>348</v>
      </c>
      <c r="H32" s="4" t="s">
        <v>503</v>
      </c>
      <c r="I32" s="9" t="s">
        <v>428</v>
      </c>
      <c r="J32" s="9" t="s">
        <v>246</v>
      </c>
      <c r="K32" s="9" t="s">
        <v>246</v>
      </c>
      <c r="L32" s="4" t="s">
        <v>504</v>
      </c>
      <c r="M32" s="9"/>
    </row>
    <row r="33" spans="1:13" ht="14.25" customHeight="1" x14ac:dyDescent="0.3">
      <c r="A33" s="9">
        <v>21</v>
      </c>
      <c r="B33" s="4" t="s">
        <v>505</v>
      </c>
      <c r="C33" s="4" t="s">
        <v>56</v>
      </c>
      <c r="D33" s="4" t="s">
        <v>59</v>
      </c>
      <c r="E33" s="4" t="s">
        <v>58</v>
      </c>
      <c r="F33" s="4" t="s">
        <v>506</v>
      </c>
      <c r="G33" s="4" t="s">
        <v>348</v>
      </c>
      <c r="H33" s="4" t="s">
        <v>507</v>
      </c>
      <c r="I33" s="9" t="s">
        <v>428</v>
      </c>
      <c r="J33" s="9" t="s">
        <v>246</v>
      </c>
      <c r="K33" s="9" t="s">
        <v>246</v>
      </c>
      <c r="L33" s="4" t="s">
        <v>508</v>
      </c>
      <c r="M33" s="9"/>
    </row>
    <row r="34" spans="1:13" ht="26.25" customHeight="1" x14ac:dyDescent="0.3">
      <c r="A34" s="9">
        <v>22</v>
      </c>
      <c r="B34" s="4" t="s">
        <v>509</v>
      </c>
      <c r="C34" s="4" t="s">
        <v>56</v>
      </c>
      <c r="D34" s="4" t="s">
        <v>59</v>
      </c>
      <c r="E34" s="4" t="s">
        <v>58</v>
      </c>
      <c r="F34" s="4" t="s">
        <v>510</v>
      </c>
      <c r="G34" s="4" t="s">
        <v>348</v>
      </c>
      <c r="H34" s="4" t="s">
        <v>246</v>
      </c>
      <c r="I34" s="9" t="s">
        <v>428</v>
      </c>
      <c r="J34" s="9" t="s">
        <v>246</v>
      </c>
      <c r="K34" s="9" t="s">
        <v>246</v>
      </c>
      <c r="L34" s="4" t="s">
        <v>511</v>
      </c>
      <c r="M34" s="9"/>
    </row>
    <row r="35" spans="1:13" ht="26.25" customHeight="1" x14ac:dyDescent="0.3">
      <c r="A35" s="9">
        <v>23</v>
      </c>
      <c r="B35" s="4" t="s">
        <v>512</v>
      </c>
      <c r="C35" s="4" t="s">
        <v>56</v>
      </c>
      <c r="D35" s="4" t="s">
        <v>59</v>
      </c>
      <c r="E35" s="4" t="s">
        <v>58</v>
      </c>
      <c r="F35" s="4" t="s">
        <v>513</v>
      </c>
      <c r="G35" s="4" t="s">
        <v>349</v>
      </c>
      <c r="H35" s="4" t="s">
        <v>514</v>
      </c>
      <c r="I35" s="9" t="s">
        <v>428</v>
      </c>
      <c r="J35" s="9" t="s">
        <v>246</v>
      </c>
      <c r="K35" s="9" t="s">
        <v>246</v>
      </c>
      <c r="L35" s="4" t="s">
        <v>515</v>
      </c>
      <c r="M35" s="9"/>
    </row>
    <row r="36" spans="1:13" ht="14.25" customHeight="1" x14ac:dyDescent="0.3">
      <c r="A36" s="9">
        <v>24</v>
      </c>
      <c r="B36" s="4" t="s">
        <v>516</v>
      </c>
      <c r="C36" s="4" t="s">
        <v>56</v>
      </c>
      <c r="D36" s="4" t="s">
        <v>66</v>
      </c>
      <c r="E36" s="4" t="s">
        <v>65</v>
      </c>
      <c r="F36" s="4" t="s">
        <v>517</v>
      </c>
      <c r="G36" s="4" t="s">
        <v>350</v>
      </c>
      <c r="H36" s="4" t="s">
        <v>246</v>
      </c>
      <c r="I36" s="9" t="s">
        <v>428</v>
      </c>
      <c r="J36" s="9" t="s">
        <v>246</v>
      </c>
      <c r="K36" s="9" t="s">
        <v>246</v>
      </c>
      <c r="L36" s="4"/>
      <c r="M36" s="9"/>
    </row>
    <row r="37" spans="1:13" ht="14.25" customHeight="1" x14ac:dyDescent="0.3">
      <c r="A37" s="9">
        <v>25</v>
      </c>
      <c r="B37" s="4" t="s">
        <v>518</v>
      </c>
      <c r="C37" s="4" t="s">
        <v>56</v>
      </c>
      <c r="D37" s="4" t="s">
        <v>66</v>
      </c>
      <c r="E37" s="4" t="s">
        <v>65</v>
      </c>
      <c r="F37" s="4" t="s">
        <v>351</v>
      </c>
      <c r="G37" s="4" t="s">
        <v>350</v>
      </c>
      <c r="H37" s="4" t="s">
        <v>519</v>
      </c>
      <c r="I37" s="9" t="s">
        <v>428</v>
      </c>
      <c r="J37" s="9" t="s">
        <v>246</v>
      </c>
      <c r="K37" s="9" t="s">
        <v>246</v>
      </c>
      <c r="L37" s="4" t="s">
        <v>520</v>
      </c>
      <c r="M37" s="9" t="s">
        <v>454</v>
      </c>
    </row>
    <row r="38" spans="1:13" ht="14.25" customHeight="1" x14ac:dyDescent="0.3">
      <c r="A38" s="9">
        <v>26</v>
      </c>
      <c r="B38" s="4" t="s">
        <v>521</v>
      </c>
      <c r="C38" s="4" t="s">
        <v>56</v>
      </c>
      <c r="D38" s="4" t="s">
        <v>66</v>
      </c>
      <c r="E38" s="4" t="s">
        <v>65</v>
      </c>
      <c r="F38" s="4" t="s">
        <v>353</v>
      </c>
      <c r="G38" s="4" t="s">
        <v>352</v>
      </c>
      <c r="H38" s="4" t="s">
        <v>354</v>
      </c>
      <c r="I38" s="9" t="s">
        <v>428</v>
      </c>
      <c r="J38" s="9" t="s">
        <v>246</v>
      </c>
      <c r="K38" s="9" t="s">
        <v>246</v>
      </c>
      <c r="L38" s="4"/>
      <c r="M38" s="9"/>
    </row>
    <row r="39" spans="1:13" ht="26.25" customHeight="1" x14ac:dyDescent="0.3">
      <c r="A39" s="9">
        <v>27</v>
      </c>
      <c r="B39" s="4" t="s">
        <v>522</v>
      </c>
      <c r="C39" s="4" t="s">
        <v>56</v>
      </c>
      <c r="D39" s="4" t="s">
        <v>523</v>
      </c>
      <c r="E39" s="4" t="s">
        <v>524</v>
      </c>
      <c r="F39" s="4" t="s">
        <v>525</v>
      </c>
      <c r="G39" s="4" t="s">
        <v>526</v>
      </c>
      <c r="H39" s="4" t="s">
        <v>527</v>
      </c>
      <c r="I39" s="9" t="s">
        <v>428</v>
      </c>
      <c r="J39" s="9" t="s">
        <v>246</v>
      </c>
      <c r="K39" s="9" t="s">
        <v>246</v>
      </c>
      <c r="L39" s="4" t="s">
        <v>528</v>
      </c>
      <c r="M39" s="9" t="s">
        <v>454</v>
      </c>
    </row>
    <row r="40" spans="1:13" ht="39" customHeight="1" x14ac:dyDescent="0.3">
      <c r="A40" s="9">
        <v>28</v>
      </c>
      <c r="B40" s="4" t="s">
        <v>529</v>
      </c>
      <c r="C40" s="4" t="s">
        <v>56</v>
      </c>
      <c r="D40" s="4" t="s">
        <v>73</v>
      </c>
      <c r="E40" s="4" t="s">
        <v>72</v>
      </c>
      <c r="F40" s="4" t="s">
        <v>530</v>
      </c>
      <c r="G40" s="4" t="s">
        <v>355</v>
      </c>
      <c r="H40" s="4" t="s">
        <v>531</v>
      </c>
      <c r="I40" s="9" t="s">
        <v>428</v>
      </c>
      <c r="J40" s="9" t="s">
        <v>246</v>
      </c>
      <c r="K40" s="9" t="s">
        <v>246</v>
      </c>
      <c r="L40" s="4" t="s">
        <v>532</v>
      </c>
      <c r="M40" s="9" t="s">
        <v>454</v>
      </c>
    </row>
    <row r="41" spans="1:13" ht="14.25" customHeight="1" x14ac:dyDescent="0.3">
      <c r="A41" s="9">
        <v>29</v>
      </c>
      <c r="B41" s="4" t="s">
        <v>533</v>
      </c>
      <c r="C41" s="4" t="s">
        <v>56</v>
      </c>
      <c r="D41" s="4" t="s">
        <v>81</v>
      </c>
      <c r="E41" s="4" t="s">
        <v>80</v>
      </c>
      <c r="F41" s="4" t="s">
        <v>356</v>
      </c>
      <c r="G41" s="4" t="s">
        <v>84</v>
      </c>
      <c r="H41" s="4" t="s">
        <v>357</v>
      </c>
      <c r="I41" s="9" t="s">
        <v>428</v>
      </c>
      <c r="J41" s="9" t="s">
        <v>246</v>
      </c>
      <c r="K41" s="9" t="s">
        <v>246</v>
      </c>
      <c r="L41" s="4"/>
      <c r="M41" s="9" t="s">
        <v>454</v>
      </c>
    </row>
    <row r="42" spans="1:13" ht="14.25" customHeight="1" x14ac:dyDescent="0.3">
      <c r="A42" s="9">
        <v>30</v>
      </c>
      <c r="B42" s="4" t="s">
        <v>534</v>
      </c>
      <c r="C42" s="4" t="s">
        <v>282</v>
      </c>
      <c r="D42" s="4" t="s">
        <v>284</v>
      </c>
      <c r="E42" s="4" t="s">
        <v>283</v>
      </c>
      <c r="F42" s="4" t="s">
        <v>535</v>
      </c>
      <c r="G42" s="4" t="s">
        <v>358</v>
      </c>
      <c r="H42" s="4" t="s">
        <v>246</v>
      </c>
      <c r="I42" s="9" t="s">
        <v>428</v>
      </c>
      <c r="J42" s="9" t="s">
        <v>429</v>
      </c>
      <c r="K42" s="9" t="s">
        <v>246</v>
      </c>
      <c r="L42" s="4" t="s">
        <v>536</v>
      </c>
      <c r="M42" s="9"/>
    </row>
    <row r="43" spans="1:13" ht="26.25" customHeight="1" x14ac:dyDescent="0.3">
      <c r="A43" s="9">
        <v>31</v>
      </c>
      <c r="B43" s="4" t="s">
        <v>537</v>
      </c>
      <c r="C43" s="4" t="s">
        <v>538</v>
      </c>
      <c r="D43" s="4" t="s">
        <v>539</v>
      </c>
      <c r="E43" s="4" t="s">
        <v>540</v>
      </c>
      <c r="F43" s="4" t="s">
        <v>541</v>
      </c>
      <c r="G43" s="4" t="s">
        <v>359</v>
      </c>
      <c r="H43" s="4" t="s">
        <v>362</v>
      </c>
      <c r="I43" s="9" t="s">
        <v>430</v>
      </c>
      <c r="J43" s="9" t="s">
        <v>429</v>
      </c>
      <c r="K43" s="9" t="s">
        <v>361</v>
      </c>
      <c r="L43" s="4" t="s">
        <v>542</v>
      </c>
      <c r="M43" s="9"/>
    </row>
    <row r="44" spans="1:13" ht="26.25" customHeight="1" x14ac:dyDescent="0.3">
      <c r="A44" s="9">
        <v>32</v>
      </c>
      <c r="B44" s="4" t="s">
        <v>543</v>
      </c>
      <c r="C44" s="4" t="s">
        <v>56</v>
      </c>
      <c r="D44" s="4" t="s">
        <v>66</v>
      </c>
      <c r="E44" s="4" t="s">
        <v>65</v>
      </c>
      <c r="F44" s="4" t="s">
        <v>544</v>
      </c>
      <c r="G44" s="4" t="s">
        <v>363</v>
      </c>
      <c r="H44" s="4" t="s">
        <v>545</v>
      </c>
      <c r="I44" s="9" t="s">
        <v>428</v>
      </c>
      <c r="J44" s="9" t="s">
        <v>246</v>
      </c>
      <c r="K44" s="9" t="s">
        <v>246</v>
      </c>
      <c r="L44" s="4" t="s">
        <v>546</v>
      </c>
      <c r="M44" s="9" t="s">
        <v>454</v>
      </c>
    </row>
    <row r="45" spans="1:13" ht="26.25" customHeight="1" x14ac:dyDescent="0.3">
      <c r="A45" s="9">
        <v>33</v>
      </c>
      <c r="B45" s="4" t="s">
        <v>547</v>
      </c>
      <c r="C45" s="4" t="s">
        <v>88</v>
      </c>
      <c r="D45" s="4" t="s">
        <v>548</v>
      </c>
      <c r="E45" s="4" t="s">
        <v>549</v>
      </c>
      <c r="F45" s="4" t="s">
        <v>550</v>
      </c>
      <c r="G45" s="4" t="s">
        <v>364</v>
      </c>
      <c r="H45" s="4" t="s">
        <v>365</v>
      </c>
      <c r="I45" s="9" t="s">
        <v>428</v>
      </c>
      <c r="J45" s="9" t="s">
        <v>429</v>
      </c>
      <c r="K45" s="9" t="s">
        <v>246</v>
      </c>
      <c r="L45" s="4" t="s">
        <v>551</v>
      </c>
      <c r="M45" s="9"/>
    </row>
    <row r="46" spans="1:13" ht="26.25" customHeight="1" x14ac:dyDescent="0.3">
      <c r="A46" s="9">
        <v>34</v>
      </c>
      <c r="B46" s="4" t="s">
        <v>552</v>
      </c>
      <c r="C46" s="4" t="s">
        <v>88</v>
      </c>
      <c r="D46" s="4" t="s">
        <v>91</v>
      </c>
      <c r="E46" s="4" t="s">
        <v>90</v>
      </c>
      <c r="F46" s="4" t="s">
        <v>553</v>
      </c>
      <c r="G46" s="4" t="s">
        <v>366</v>
      </c>
      <c r="H46" s="4" t="s">
        <v>554</v>
      </c>
      <c r="I46" s="9" t="s">
        <v>428</v>
      </c>
      <c r="J46" s="9" t="s">
        <v>246</v>
      </c>
      <c r="K46" s="9" t="s">
        <v>246</v>
      </c>
      <c r="L46" s="4"/>
      <c r="M46" s="9" t="s">
        <v>454</v>
      </c>
    </row>
    <row r="47" spans="1:13" ht="26.25" customHeight="1" x14ac:dyDescent="0.3">
      <c r="A47" s="9">
        <v>35</v>
      </c>
      <c r="B47" s="4" t="s">
        <v>555</v>
      </c>
      <c r="C47" s="4" t="s">
        <v>88</v>
      </c>
      <c r="D47" s="4" t="s">
        <v>98</v>
      </c>
      <c r="E47" s="4" t="s">
        <v>97</v>
      </c>
      <c r="F47" s="4" t="s">
        <v>556</v>
      </c>
      <c r="G47" s="4" t="s">
        <v>557</v>
      </c>
      <c r="H47" s="4" t="s">
        <v>558</v>
      </c>
      <c r="I47" s="9" t="s">
        <v>428</v>
      </c>
      <c r="J47" s="9" t="s">
        <v>246</v>
      </c>
      <c r="K47" s="9" t="s">
        <v>246</v>
      </c>
      <c r="L47" s="4" t="s">
        <v>559</v>
      </c>
      <c r="M47" s="9"/>
    </row>
    <row r="48" spans="1:13" ht="14.25" customHeight="1" x14ac:dyDescent="0.3">
      <c r="A48" s="9">
        <v>36</v>
      </c>
      <c r="B48" s="4" t="s">
        <v>560</v>
      </c>
      <c r="C48" s="4" t="s">
        <v>88</v>
      </c>
      <c r="D48" s="4" t="s">
        <v>98</v>
      </c>
      <c r="E48" s="4" t="s">
        <v>97</v>
      </c>
      <c r="F48" s="4" t="s">
        <v>561</v>
      </c>
      <c r="G48" s="4" t="s">
        <v>367</v>
      </c>
      <c r="H48" s="4" t="s">
        <v>376</v>
      </c>
      <c r="I48" s="9" t="s">
        <v>428</v>
      </c>
      <c r="J48" s="9" t="s">
        <v>246</v>
      </c>
      <c r="K48" s="9" t="s">
        <v>246</v>
      </c>
      <c r="L48" s="4" t="s">
        <v>562</v>
      </c>
      <c r="M48" s="9"/>
    </row>
    <row r="49" spans="1:13" ht="26.25" customHeight="1" x14ac:dyDescent="0.3">
      <c r="A49" s="9">
        <v>37</v>
      </c>
      <c r="B49" s="4" t="s">
        <v>563</v>
      </c>
      <c r="C49" s="4" t="s">
        <v>88</v>
      </c>
      <c r="D49" s="4" t="s">
        <v>564</v>
      </c>
      <c r="E49" s="4" t="s">
        <v>565</v>
      </c>
      <c r="F49" s="4" t="s">
        <v>375</v>
      </c>
      <c r="G49" s="4" t="s">
        <v>374</v>
      </c>
      <c r="H49" s="4" t="s">
        <v>246</v>
      </c>
      <c r="I49" s="9" t="s">
        <v>428</v>
      </c>
      <c r="J49" s="9" t="s">
        <v>429</v>
      </c>
      <c r="K49" s="9" t="s">
        <v>246</v>
      </c>
      <c r="L49" s="4" t="s">
        <v>566</v>
      </c>
      <c r="M49" s="9"/>
    </row>
    <row r="50" spans="1:13" ht="14.25" customHeight="1" x14ac:dyDescent="0.3">
      <c r="A50" s="9">
        <v>38</v>
      </c>
      <c r="B50" s="4" t="s">
        <v>567</v>
      </c>
      <c r="C50" s="4" t="s">
        <v>282</v>
      </c>
      <c r="D50" s="4" t="s">
        <v>88</v>
      </c>
      <c r="E50" s="4" t="s">
        <v>288</v>
      </c>
      <c r="F50" s="4" t="s">
        <v>568</v>
      </c>
      <c r="G50" s="4" t="s">
        <v>377</v>
      </c>
      <c r="H50" s="4" t="s">
        <v>378</v>
      </c>
      <c r="I50" s="9" t="s">
        <v>246</v>
      </c>
      <c r="J50" s="9" t="s">
        <v>429</v>
      </c>
      <c r="K50" s="9" t="s">
        <v>246</v>
      </c>
      <c r="L50" s="4" t="s">
        <v>569</v>
      </c>
      <c r="M50" s="9"/>
    </row>
    <row r="51" spans="1:13" ht="26.25" customHeight="1" x14ac:dyDescent="0.3">
      <c r="A51" s="9">
        <v>39</v>
      </c>
      <c r="B51" s="4" t="s">
        <v>570</v>
      </c>
      <c r="C51" s="4" t="s">
        <v>88</v>
      </c>
      <c r="D51" s="4" t="s">
        <v>98</v>
      </c>
      <c r="E51" s="4" t="s">
        <v>97</v>
      </c>
      <c r="F51" s="4" t="s">
        <v>571</v>
      </c>
      <c r="G51" s="4" t="s">
        <v>367</v>
      </c>
      <c r="H51" s="4" t="s">
        <v>572</v>
      </c>
      <c r="I51" s="9" t="s">
        <v>428</v>
      </c>
      <c r="J51" s="9" t="s">
        <v>246</v>
      </c>
      <c r="K51" s="9" t="s">
        <v>246</v>
      </c>
      <c r="L51" s="4" t="s">
        <v>573</v>
      </c>
      <c r="M51" s="9"/>
    </row>
    <row r="52" spans="1:13" ht="14.25" customHeight="1" x14ac:dyDescent="0.3">
      <c r="A52" s="9">
        <v>40</v>
      </c>
      <c r="B52" s="4" t="s">
        <v>574</v>
      </c>
      <c r="C52" s="4" t="s">
        <v>88</v>
      </c>
      <c r="D52" s="4" t="s">
        <v>98</v>
      </c>
      <c r="E52" s="4" t="s">
        <v>97</v>
      </c>
      <c r="F52" s="4" t="s">
        <v>575</v>
      </c>
      <c r="G52" s="4" t="s">
        <v>368</v>
      </c>
      <c r="H52" s="4" t="s">
        <v>576</v>
      </c>
      <c r="I52" s="9" t="s">
        <v>428</v>
      </c>
      <c r="J52" s="9" t="s">
        <v>246</v>
      </c>
      <c r="K52" s="9" t="s">
        <v>246</v>
      </c>
      <c r="L52" s="4" t="s">
        <v>577</v>
      </c>
      <c r="M52" s="9" t="s">
        <v>454</v>
      </c>
    </row>
    <row r="53" spans="1:13" ht="14.25" customHeight="1" x14ac:dyDescent="0.3">
      <c r="A53" s="9">
        <v>41</v>
      </c>
      <c r="B53" s="4" t="s">
        <v>578</v>
      </c>
      <c r="C53" s="4" t="s">
        <v>88</v>
      </c>
      <c r="D53" s="4" t="s">
        <v>98</v>
      </c>
      <c r="E53" s="4" t="s">
        <v>97</v>
      </c>
      <c r="F53" s="4" t="s">
        <v>370</v>
      </c>
      <c r="G53" s="4" t="s">
        <v>369</v>
      </c>
      <c r="H53" s="4" t="s">
        <v>371</v>
      </c>
      <c r="I53" s="9" t="s">
        <v>428</v>
      </c>
      <c r="J53" s="9" t="s">
        <v>246</v>
      </c>
      <c r="K53" s="9" t="s">
        <v>246</v>
      </c>
      <c r="L53" s="4" t="s">
        <v>579</v>
      </c>
      <c r="M53" s="9" t="s">
        <v>454</v>
      </c>
    </row>
    <row r="54" spans="1:13" ht="14.25" customHeight="1" x14ac:dyDescent="0.3">
      <c r="A54" s="9">
        <v>42</v>
      </c>
      <c r="B54" s="4" t="s">
        <v>580</v>
      </c>
      <c r="C54" s="4" t="s">
        <v>88</v>
      </c>
      <c r="D54" s="4" t="s">
        <v>98</v>
      </c>
      <c r="E54" s="4" t="s">
        <v>97</v>
      </c>
      <c r="F54" s="4" t="s">
        <v>373</v>
      </c>
      <c r="G54" s="4" t="s">
        <v>372</v>
      </c>
      <c r="H54" s="4" t="s">
        <v>581</v>
      </c>
      <c r="I54" s="9" t="s">
        <v>428</v>
      </c>
      <c r="J54" s="9" t="s">
        <v>246</v>
      </c>
      <c r="K54" s="9" t="s">
        <v>246</v>
      </c>
      <c r="L54" s="4" t="s">
        <v>582</v>
      </c>
      <c r="M54" s="9" t="s">
        <v>454</v>
      </c>
    </row>
    <row r="55" spans="1:13" ht="14.25" customHeight="1" x14ac:dyDescent="0.3">
      <c r="A55" s="9">
        <v>43</v>
      </c>
      <c r="B55" s="4" t="s">
        <v>583</v>
      </c>
      <c r="C55" s="4" t="s">
        <v>16</v>
      </c>
      <c r="D55" s="4" t="s">
        <v>19</v>
      </c>
      <c r="E55" s="4" t="s">
        <v>18</v>
      </c>
      <c r="F55" s="4" t="s">
        <v>380</v>
      </c>
      <c r="G55" s="4" t="s">
        <v>379</v>
      </c>
      <c r="H55" s="4" t="s">
        <v>362</v>
      </c>
      <c r="I55" s="9" t="s">
        <v>430</v>
      </c>
      <c r="J55" s="9" t="s">
        <v>246</v>
      </c>
      <c r="K55" s="9" t="s">
        <v>361</v>
      </c>
      <c r="L55" s="4"/>
      <c r="M55" s="9"/>
    </row>
    <row r="56" spans="1:13" ht="26.25" customHeight="1" x14ac:dyDescent="0.3">
      <c r="A56" s="9">
        <v>44</v>
      </c>
      <c r="B56" s="4" t="s">
        <v>584</v>
      </c>
      <c r="C56" s="4" t="s">
        <v>106</v>
      </c>
      <c r="D56" s="4" t="s">
        <v>109</v>
      </c>
      <c r="E56" s="4" t="s">
        <v>108</v>
      </c>
      <c r="F56" s="4" t="s">
        <v>381</v>
      </c>
      <c r="G56" s="4" t="s">
        <v>585</v>
      </c>
      <c r="H56" s="4" t="s">
        <v>586</v>
      </c>
      <c r="I56" s="9" t="s">
        <v>428</v>
      </c>
      <c r="J56" s="9" t="s">
        <v>246</v>
      </c>
      <c r="K56" s="9" t="s">
        <v>246</v>
      </c>
      <c r="L56" s="4" t="s">
        <v>587</v>
      </c>
      <c r="M56" s="9" t="s">
        <v>454</v>
      </c>
    </row>
    <row r="57" spans="1:13" ht="14.25" customHeight="1" x14ac:dyDescent="0.3">
      <c r="A57" s="9">
        <v>45</v>
      </c>
      <c r="B57" s="4" t="s">
        <v>588</v>
      </c>
      <c r="C57" s="4" t="s">
        <v>106</v>
      </c>
      <c r="D57" s="4" t="s">
        <v>117</v>
      </c>
      <c r="E57" s="4" t="s">
        <v>116</v>
      </c>
      <c r="F57" s="4" t="s">
        <v>589</v>
      </c>
      <c r="G57" s="4" t="s">
        <v>382</v>
      </c>
      <c r="H57" s="4" t="s">
        <v>590</v>
      </c>
      <c r="I57" s="9" t="s">
        <v>428</v>
      </c>
      <c r="J57" s="9" t="s">
        <v>246</v>
      </c>
      <c r="K57" s="9" t="s">
        <v>246</v>
      </c>
      <c r="L57" s="4"/>
      <c r="M57" s="9"/>
    </row>
    <row r="58" spans="1:13" ht="26.25" customHeight="1" x14ac:dyDescent="0.3">
      <c r="A58" s="9">
        <v>46</v>
      </c>
      <c r="B58" s="4" t="s">
        <v>591</v>
      </c>
      <c r="C58" s="4" t="s">
        <v>106</v>
      </c>
      <c r="D58" s="4" t="s">
        <v>117</v>
      </c>
      <c r="E58" s="4" t="s">
        <v>116</v>
      </c>
      <c r="F58" s="4" t="s">
        <v>383</v>
      </c>
      <c r="G58" s="4" t="s">
        <v>382</v>
      </c>
      <c r="H58" s="4" t="s">
        <v>592</v>
      </c>
      <c r="I58" s="9" t="s">
        <v>428</v>
      </c>
      <c r="J58" s="9" t="s">
        <v>246</v>
      </c>
      <c r="K58" s="9" t="s">
        <v>246</v>
      </c>
      <c r="L58" s="4" t="s">
        <v>593</v>
      </c>
      <c r="M58" s="9" t="s">
        <v>454</v>
      </c>
    </row>
    <row r="59" spans="1:13" ht="23.25" customHeight="1" x14ac:dyDescent="0.3">
      <c r="A59" s="9">
        <v>47</v>
      </c>
      <c r="B59" s="4" t="s">
        <v>594</v>
      </c>
      <c r="C59" s="4" t="s">
        <v>106</v>
      </c>
      <c r="D59" s="4" t="s">
        <v>117</v>
      </c>
      <c r="E59" s="4" t="s">
        <v>116</v>
      </c>
      <c r="F59" s="4" t="s">
        <v>595</v>
      </c>
      <c r="G59" s="4" t="s">
        <v>384</v>
      </c>
      <c r="H59" s="4" t="s">
        <v>596</v>
      </c>
      <c r="I59" s="9" t="s">
        <v>428</v>
      </c>
      <c r="J59" s="9" t="s">
        <v>246</v>
      </c>
      <c r="K59" s="9" t="s">
        <v>246</v>
      </c>
      <c r="L59" s="4" t="s">
        <v>597</v>
      </c>
      <c r="M59" s="9" t="s">
        <v>454</v>
      </c>
    </row>
    <row r="60" spans="1:13" ht="26.25" customHeight="1" x14ac:dyDescent="0.3">
      <c r="A60" s="9">
        <v>48</v>
      </c>
      <c r="B60" s="4" t="s">
        <v>598</v>
      </c>
      <c r="C60" s="4" t="s">
        <v>106</v>
      </c>
      <c r="D60" s="4" t="s">
        <v>117</v>
      </c>
      <c r="E60" s="4" t="s">
        <v>116</v>
      </c>
      <c r="F60" s="4" t="s">
        <v>599</v>
      </c>
      <c r="G60" s="4" t="s">
        <v>600</v>
      </c>
      <c r="H60" s="4" t="s">
        <v>601</v>
      </c>
      <c r="I60" s="9" t="s">
        <v>428</v>
      </c>
      <c r="J60" s="9" t="s">
        <v>246</v>
      </c>
      <c r="K60" s="9" t="s">
        <v>246</v>
      </c>
      <c r="L60" s="4" t="s">
        <v>602</v>
      </c>
      <c r="M60" s="9" t="s">
        <v>454</v>
      </c>
    </row>
    <row r="61" spans="1:13" ht="14.25" customHeight="1" x14ac:dyDescent="0.3">
      <c r="A61" s="9">
        <v>49</v>
      </c>
      <c r="B61" s="4" t="s">
        <v>603</v>
      </c>
      <c r="C61" s="4" t="s">
        <v>106</v>
      </c>
      <c r="D61" s="4" t="s">
        <v>117</v>
      </c>
      <c r="E61" s="4" t="s">
        <v>116</v>
      </c>
      <c r="F61" s="4" t="s">
        <v>604</v>
      </c>
      <c r="G61" s="4" t="s">
        <v>385</v>
      </c>
      <c r="H61" s="4" t="s">
        <v>386</v>
      </c>
      <c r="I61" s="9" t="s">
        <v>428</v>
      </c>
      <c r="J61" s="9" t="s">
        <v>246</v>
      </c>
      <c r="K61" s="9" t="s">
        <v>246</v>
      </c>
      <c r="L61" s="4" t="s">
        <v>605</v>
      </c>
      <c r="M61" s="9" t="s">
        <v>454</v>
      </c>
    </row>
    <row r="62" spans="1:13" ht="14.25" customHeight="1" x14ac:dyDescent="0.3">
      <c r="A62" s="9">
        <v>50</v>
      </c>
      <c r="B62" s="4" t="s">
        <v>606</v>
      </c>
      <c r="C62" s="4" t="s">
        <v>268</v>
      </c>
      <c r="D62" s="4" t="s">
        <v>117</v>
      </c>
      <c r="E62" s="4" t="s">
        <v>269</v>
      </c>
      <c r="F62" s="4" t="s">
        <v>607</v>
      </c>
      <c r="G62" s="4" t="s">
        <v>387</v>
      </c>
      <c r="H62" s="4" t="s">
        <v>246</v>
      </c>
      <c r="I62" s="9" t="s">
        <v>428</v>
      </c>
      <c r="J62" s="9" t="s">
        <v>429</v>
      </c>
      <c r="K62" s="9" t="s">
        <v>246</v>
      </c>
      <c r="L62" s="4" t="s">
        <v>608</v>
      </c>
      <c r="M62" s="9"/>
    </row>
    <row r="63" spans="1:13" ht="14.25" customHeight="1" x14ac:dyDescent="0.3">
      <c r="A63" s="9">
        <v>51</v>
      </c>
      <c r="B63" s="4" t="s">
        <v>609</v>
      </c>
      <c r="C63" s="4" t="s">
        <v>268</v>
      </c>
      <c r="D63" s="4" t="s">
        <v>117</v>
      </c>
      <c r="E63" s="4" t="s">
        <v>269</v>
      </c>
      <c r="F63" s="4" t="s">
        <v>389</v>
      </c>
      <c r="G63" s="4" t="s">
        <v>388</v>
      </c>
      <c r="H63" s="4" t="s">
        <v>390</v>
      </c>
      <c r="I63" s="9" t="s">
        <v>246</v>
      </c>
      <c r="J63" s="9" t="s">
        <v>429</v>
      </c>
      <c r="K63" s="9" t="s">
        <v>246</v>
      </c>
      <c r="L63" s="4" t="s">
        <v>610</v>
      </c>
      <c r="M63" s="9"/>
    </row>
    <row r="64" spans="1:13" ht="39" customHeight="1" x14ac:dyDescent="0.3">
      <c r="A64" s="9">
        <v>52</v>
      </c>
      <c r="B64" s="4" t="s">
        <v>611</v>
      </c>
      <c r="C64" s="4" t="s">
        <v>106</v>
      </c>
      <c r="D64" s="4" t="s">
        <v>124</v>
      </c>
      <c r="E64" s="4" t="s">
        <v>123</v>
      </c>
      <c r="F64" s="4" t="s">
        <v>612</v>
      </c>
      <c r="G64" s="4" t="s">
        <v>613</v>
      </c>
      <c r="H64" s="4" t="s">
        <v>614</v>
      </c>
      <c r="I64" s="9" t="s">
        <v>428</v>
      </c>
      <c r="J64" s="9" t="s">
        <v>246</v>
      </c>
      <c r="K64" s="9" t="s">
        <v>246</v>
      </c>
      <c r="L64" s="4" t="s">
        <v>615</v>
      </c>
      <c r="M64" s="9" t="s">
        <v>454</v>
      </c>
    </row>
    <row r="65" spans="1:13" ht="39" customHeight="1" x14ac:dyDescent="0.3">
      <c r="A65" s="9">
        <v>53</v>
      </c>
      <c r="B65" s="4" t="s">
        <v>616</v>
      </c>
      <c r="C65" s="4" t="s">
        <v>106</v>
      </c>
      <c r="D65" s="4" t="s">
        <v>124</v>
      </c>
      <c r="E65" s="4" t="s">
        <v>123</v>
      </c>
      <c r="F65" s="4" t="s">
        <v>392</v>
      </c>
      <c r="G65" s="4" t="s">
        <v>391</v>
      </c>
      <c r="H65" s="4" t="s">
        <v>393</v>
      </c>
      <c r="I65" s="9" t="s">
        <v>428</v>
      </c>
      <c r="J65" s="9" t="s">
        <v>430</v>
      </c>
      <c r="K65" s="9" t="s">
        <v>246</v>
      </c>
      <c r="L65" s="4" t="s">
        <v>617</v>
      </c>
      <c r="M65" s="9"/>
    </row>
    <row r="66" spans="1:13" ht="26.25" customHeight="1" x14ac:dyDescent="0.3">
      <c r="A66" s="9">
        <v>54</v>
      </c>
      <c r="B66" s="4" t="s">
        <v>618</v>
      </c>
      <c r="C66" s="4" t="s">
        <v>619</v>
      </c>
      <c r="D66" s="4" t="s">
        <v>620</v>
      </c>
      <c r="E66" s="4" t="s">
        <v>394</v>
      </c>
      <c r="F66" s="4" t="s">
        <v>621</v>
      </c>
      <c r="G66" s="4" t="s">
        <v>622</v>
      </c>
      <c r="H66" s="4" t="s">
        <v>623</v>
      </c>
      <c r="I66" s="9" t="s">
        <v>428</v>
      </c>
      <c r="J66" s="9" t="s">
        <v>246</v>
      </c>
      <c r="K66" s="9" t="s">
        <v>246</v>
      </c>
      <c r="L66" s="4" t="s">
        <v>624</v>
      </c>
      <c r="M66" s="9" t="s">
        <v>454</v>
      </c>
    </row>
    <row r="67" spans="1:13" ht="26.25" customHeight="1" x14ac:dyDescent="0.3">
      <c r="A67" s="9">
        <v>55</v>
      </c>
      <c r="B67" s="4" t="s">
        <v>625</v>
      </c>
      <c r="C67" s="4" t="s">
        <v>626</v>
      </c>
      <c r="D67" s="4" t="s">
        <v>627</v>
      </c>
      <c r="E67" s="4" t="s">
        <v>628</v>
      </c>
      <c r="F67" s="4" t="s">
        <v>629</v>
      </c>
      <c r="G67" s="4" t="s">
        <v>398</v>
      </c>
      <c r="H67" s="4" t="s">
        <v>630</v>
      </c>
      <c r="I67" s="9" t="s">
        <v>430</v>
      </c>
      <c r="J67" s="9" t="s">
        <v>429</v>
      </c>
      <c r="K67" s="9" t="s">
        <v>361</v>
      </c>
      <c r="L67" s="4" t="s">
        <v>631</v>
      </c>
      <c r="M67" s="9"/>
    </row>
    <row r="68" spans="1:13" ht="26.25" customHeight="1" x14ac:dyDescent="0.3">
      <c r="A68" s="9">
        <v>56</v>
      </c>
      <c r="B68" s="4" t="s">
        <v>632</v>
      </c>
      <c r="C68" s="4" t="s">
        <v>626</v>
      </c>
      <c r="D68" s="4" t="s">
        <v>132</v>
      </c>
      <c r="E68" s="4" t="s">
        <v>633</v>
      </c>
      <c r="F68" s="4" t="s">
        <v>634</v>
      </c>
      <c r="G68" s="4" t="s">
        <v>279</v>
      </c>
      <c r="H68" s="4" t="s">
        <v>397</v>
      </c>
      <c r="I68" s="9" t="s">
        <v>428</v>
      </c>
      <c r="J68" s="9" t="s">
        <v>429</v>
      </c>
      <c r="K68" s="9" t="s">
        <v>246</v>
      </c>
      <c r="L68" s="4"/>
      <c r="M68" s="9"/>
    </row>
    <row r="69" spans="1:13" ht="26.25" customHeight="1" x14ac:dyDescent="0.3">
      <c r="A69" s="9">
        <v>57</v>
      </c>
      <c r="B69" s="4" t="s">
        <v>635</v>
      </c>
      <c r="C69" s="4" t="s">
        <v>106</v>
      </c>
      <c r="D69" s="4" t="s">
        <v>132</v>
      </c>
      <c r="E69" s="4" t="s">
        <v>131</v>
      </c>
      <c r="F69" s="4" t="s">
        <v>396</v>
      </c>
      <c r="G69" s="4" t="s">
        <v>395</v>
      </c>
      <c r="H69" s="4" t="s">
        <v>636</v>
      </c>
      <c r="I69" s="9" t="s">
        <v>428</v>
      </c>
      <c r="J69" s="9" t="s">
        <v>246</v>
      </c>
      <c r="K69" s="9" t="s">
        <v>246</v>
      </c>
      <c r="L69" s="4" t="s">
        <v>637</v>
      </c>
      <c r="M69" s="9" t="s">
        <v>454</v>
      </c>
    </row>
    <row r="70" spans="1:13" ht="14.25" customHeight="1" x14ac:dyDescent="0.3">
      <c r="A70" s="9">
        <v>58</v>
      </c>
      <c r="B70" s="4" t="s">
        <v>638</v>
      </c>
      <c r="C70" s="4" t="s">
        <v>139</v>
      </c>
      <c r="D70" s="4" t="s">
        <v>297</v>
      </c>
      <c r="E70" s="4" t="s">
        <v>296</v>
      </c>
      <c r="F70" s="4" t="s">
        <v>400</v>
      </c>
      <c r="G70" s="4" t="s">
        <v>399</v>
      </c>
      <c r="H70" s="4" t="s">
        <v>401</v>
      </c>
      <c r="I70" s="9" t="s">
        <v>246</v>
      </c>
      <c r="J70" s="9" t="s">
        <v>429</v>
      </c>
      <c r="K70" s="9" t="s">
        <v>246</v>
      </c>
      <c r="L70" s="4" t="s">
        <v>639</v>
      </c>
      <c r="M70" s="9"/>
    </row>
    <row r="71" spans="1:13" ht="26.25" customHeight="1" x14ac:dyDescent="0.3">
      <c r="A71" s="9">
        <v>59</v>
      </c>
      <c r="B71" s="4" t="s">
        <v>640</v>
      </c>
      <c r="C71" s="4" t="s">
        <v>139</v>
      </c>
      <c r="D71" s="4" t="s">
        <v>641</v>
      </c>
      <c r="E71" s="4" t="s">
        <v>642</v>
      </c>
      <c r="F71" s="4" t="s">
        <v>643</v>
      </c>
      <c r="G71" s="4" t="s">
        <v>402</v>
      </c>
      <c r="H71" s="4" t="s">
        <v>403</v>
      </c>
      <c r="I71" s="9" t="s">
        <v>428</v>
      </c>
      <c r="J71" s="9" t="s">
        <v>429</v>
      </c>
      <c r="K71" s="9" t="s">
        <v>246</v>
      </c>
      <c r="L71" s="4" t="s">
        <v>644</v>
      </c>
      <c r="M71" s="9"/>
    </row>
    <row r="72" spans="1:13" ht="14.25" customHeight="1" x14ac:dyDescent="0.3">
      <c r="A72" s="9">
        <v>60</v>
      </c>
      <c r="B72" s="4" t="s">
        <v>645</v>
      </c>
      <c r="C72" s="4" t="s">
        <v>139</v>
      </c>
      <c r="D72" s="4" t="s">
        <v>297</v>
      </c>
      <c r="E72" s="4" t="s">
        <v>296</v>
      </c>
      <c r="F72" s="4" t="s">
        <v>405</v>
      </c>
      <c r="G72" s="4" t="s">
        <v>404</v>
      </c>
      <c r="H72" s="4" t="s">
        <v>406</v>
      </c>
      <c r="I72" s="9" t="s">
        <v>246</v>
      </c>
      <c r="J72" s="9" t="s">
        <v>429</v>
      </c>
      <c r="K72" s="9" t="s">
        <v>246</v>
      </c>
      <c r="L72" s="4" t="s">
        <v>646</v>
      </c>
      <c r="M72" s="9"/>
    </row>
    <row r="73" spans="1:13" ht="14.25" customHeight="1" x14ac:dyDescent="0.3">
      <c r="A73" s="9">
        <v>61</v>
      </c>
      <c r="B73" s="4" t="s">
        <v>647</v>
      </c>
      <c r="C73" s="4" t="s">
        <v>139</v>
      </c>
      <c r="D73" s="4" t="s">
        <v>142</v>
      </c>
      <c r="E73" s="4" t="s">
        <v>141</v>
      </c>
      <c r="F73" s="4" t="s">
        <v>408</v>
      </c>
      <c r="G73" s="4" t="s">
        <v>407</v>
      </c>
      <c r="H73" s="4" t="s">
        <v>409</v>
      </c>
      <c r="I73" s="9" t="s">
        <v>428</v>
      </c>
      <c r="J73" s="9" t="s">
        <v>246</v>
      </c>
      <c r="K73" s="9" t="s">
        <v>246</v>
      </c>
      <c r="L73" s="4"/>
      <c r="M73" s="9"/>
    </row>
    <row r="74" spans="1:13" ht="14.25" customHeight="1" x14ac:dyDescent="0.3">
      <c r="A74" s="9">
        <v>62</v>
      </c>
      <c r="B74" s="4" t="s">
        <v>648</v>
      </c>
      <c r="C74" s="4" t="s">
        <v>139</v>
      </c>
      <c r="D74" s="4" t="s">
        <v>142</v>
      </c>
      <c r="E74" s="4" t="s">
        <v>141</v>
      </c>
      <c r="F74" s="4" t="s">
        <v>649</v>
      </c>
      <c r="G74" s="4" t="s">
        <v>410</v>
      </c>
      <c r="H74" s="4" t="s">
        <v>411</v>
      </c>
      <c r="I74" s="9" t="s">
        <v>428</v>
      </c>
      <c r="J74" s="9" t="s">
        <v>246</v>
      </c>
      <c r="K74" s="9" t="s">
        <v>246</v>
      </c>
      <c r="L74" s="4"/>
      <c r="M74" s="9"/>
    </row>
    <row r="75" spans="1:13" ht="14.25" customHeight="1" x14ac:dyDescent="0.3">
      <c r="A75" s="9">
        <v>63</v>
      </c>
      <c r="B75" s="4" t="s">
        <v>650</v>
      </c>
      <c r="C75" s="4" t="s">
        <v>139</v>
      </c>
      <c r="D75" s="4" t="s">
        <v>142</v>
      </c>
      <c r="E75" s="4" t="s">
        <v>141</v>
      </c>
      <c r="F75" s="4" t="s">
        <v>413</v>
      </c>
      <c r="G75" s="4" t="s">
        <v>412</v>
      </c>
      <c r="H75" s="4" t="s">
        <v>414</v>
      </c>
      <c r="I75" s="9" t="s">
        <v>428</v>
      </c>
      <c r="J75" s="9" t="s">
        <v>246</v>
      </c>
      <c r="K75" s="9" t="s">
        <v>246</v>
      </c>
      <c r="L75" s="4" t="s">
        <v>651</v>
      </c>
      <c r="M75" s="9"/>
    </row>
    <row r="76" spans="1:13" ht="26.25" customHeight="1" x14ac:dyDescent="0.3">
      <c r="A76" s="9">
        <v>64</v>
      </c>
      <c r="B76" s="4" t="s">
        <v>652</v>
      </c>
      <c r="C76" s="4" t="s">
        <v>139</v>
      </c>
      <c r="D76" s="4" t="s">
        <v>142</v>
      </c>
      <c r="E76" s="4" t="s">
        <v>141</v>
      </c>
      <c r="F76" s="4" t="s">
        <v>653</v>
      </c>
      <c r="G76" s="4" t="s">
        <v>415</v>
      </c>
      <c r="H76" s="4" t="s">
        <v>654</v>
      </c>
      <c r="I76" s="9" t="s">
        <v>428</v>
      </c>
      <c r="J76" s="9" t="s">
        <v>246</v>
      </c>
      <c r="K76" s="9" t="s">
        <v>246</v>
      </c>
      <c r="L76" s="4" t="s">
        <v>655</v>
      </c>
      <c r="M76" s="9"/>
    </row>
    <row r="77" spans="1:13" ht="14.25" customHeight="1" x14ac:dyDescent="0.3">
      <c r="A77" s="9">
        <v>65</v>
      </c>
      <c r="B77" s="4" t="s">
        <v>656</v>
      </c>
      <c r="C77" s="4" t="s">
        <v>150</v>
      </c>
      <c r="D77" s="4" t="s">
        <v>161</v>
      </c>
      <c r="E77" s="4" t="s">
        <v>160</v>
      </c>
      <c r="F77" s="4" t="s">
        <v>657</v>
      </c>
      <c r="G77" s="4" t="s">
        <v>164</v>
      </c>
      <c r="H77" s="4" t="s">
        <v>416</v>
      </c>
      <c r="I77" s="9" t="s">
        <v>428</v>
      </c>
      <c r="J77" s="9" t="s">
        <v>430</v>
      </c>
      <c r="K77" s="9" t="s">
        <v>246</v>
      </c>
      <c r="L77" s="4"/>
      <c r="M77" s="9"/>
    </row>
    <row r="78" spans="1:13" ht="26.25" customHeight="1" x14ac:dyDescent="0.3">
      <c r="A78" s="9">
        <v>66</v>
      </c>
      <c r="B78" s="4" t="s">
        <v>658</v>
      </c>
      <c r="C78" s="4" t="s">
        <v>150</v>
      </c>
      <c r="D78" s="4" t="s">
        <v>153</v>
      </c>
      <c r="E78" s="4" t="s">
        <v>659</v>
      </c>
      <c r="F78" s="4" t="s">
        <v>660</v>
      </c>
      <c r="G78" s="4" t="s">
        <v>324</v>
      </c>
      <c r="H78" s="4" t="s">
        <v>661</v>
      </c>
      <c r="I78" s="9" t="s">
        <v>429</v>
      </c>
      <c r="J78" s="9" t="s">
        <v>429</v>
      </c>
      <c r="K78" s="9" t="s">
        <v>246</v>
      </c>
      <c r="L78" s="4" t="s">
        <v>662</v>
      </c>
      <c r="M78" s="9"/>
    </row>
    <row r="79" spans="1:13" ht="26.25" customHeight="1" x14ac:dyDescent="0.3">
      <c r="A79" s="9">
        <v>67</v>
      </c>
      <c r="B79" s="4" t="s">
        <v>663</v>
      </c>
      <c r="C79" s="4" t="s">
        <v>150</v>
      </c>
      <c r="D79" s="4" t="s">
        <v>153</v>
      </c>
      <c r="E79" s="4" t="s">
        <v>664</v>
      </c>
      <c r="F79" s="4" t="s">
        <v>418</v>
      </c>
      <c r="G79" s="4" t="s">
        <v>417</v>
      </c>
      <c r="H79" s="4" t="s">
        <v>419</v>
      </c>
      <c r="I79" s="9" t="s">
        <v>430</v>
      </c>
      <c r="J79" s="9" t="s">
        <v>430</v>
      </c>
      <c r="K79" s="9" t="s">
        <v>361</v>
      </c>
      <c r="L79" s="4" t="s">
        <v>665</v>
      </c>
      <c r="M79" s="9"/>
    </row>
    <row r="80" spans="1:13" ht="14.25" customHeight="1" x14ac:dyDescent="0.3">
      <c r="A80" s="9">
        <v>68</v>
      </c>
      <c r="B80" s="4" t="s">
        <v>666</v>
      </c>
      <c r="C80" s="4" t="s">
        <v>16</v>
      </c>
      <c r="D80" s="4" t="s">
        <v>19</v>
      </c>
      <c r="E80" s="4" t="s">
        <v>18</v>
      </c>
      <c r="F80" s="4" t="s">
        <v>421</v>
      </c>
      <c r="G80" s="4" t="s">
        <v>420</v>
      </c>
      <c r="H80" s="4" t="s">
        <v>422</v>
      </c>
      <c r="I80" s="9" t="s">
        <v>428</v>
      </c>
      <c r="J80" s="9" t="s">
        <v>246</v>
      </c>
      <c r="K80" s="9" t="s">
        <v>246</v>
      </c>
      <c r="L80" s="4"/>
      <c r="M80" s="9"/>
    </row>
    <row r="81" spans="1:13" ht="14.25" customHeight="1" x14ac:dyDescent="0.3">
      <c r="A81" s="9">
        <v>69</v>
      </c>
      <c r="B81" s="4" t="s">
        <v>667</v>
      </c>
      <c r="C81" s="4" t="s">
        <v>167</v>
      </c>
      <c r="D81" s="4" t="s">
        <v>170</v>
      </c>
      <c r="E81" s="4" t="s">
        <v>169</v>
      </c>
      <c r="F81" s="4" t="s">
        <v>668</v>
      </c>
      <c r="G81" s="4" t="s">
        <v>173</v>
      </c>
      <c r="H81" s="4" t="s">
        <v>246</v>
      </c>
      <c r="I81" s="9" t="s">
        <v>428</v>
      </c>
      <c r="J81" s="9" t="s">
        <v>246</v>
      </c>
      <c r="K81" s="9" t="s">
        <v>246</v>
      </c>
      <c r="L81" s="4"/>
      <c r="M81" s="9"/>
    </row>
    <row r="82" spans="1:13" ht="26.25" customHeight="1" x14ac:dyDescent="0.3">
      <c r="A82" s="9">
        <v>70</v>
      </c>
      <c r="B82" s="4" t="s">
        <v>669</v>
      </c>
      <c r="C82" s="4" t="s">
        <v>167</v>
      </c>
      <c r="D82" s="4" t="s">
        <v>176</v>
      </c>
      <c r="E82" s="4" t="s">
        <v>175</v>
      </c>
      <c r="F82" s="4" t="s">
        <v>670</v>
      </c>
      <c r="G82" s="4" t="s">
        <v>178</v>
      </c>
      <c r="H82" s="4" t="s">
        <v>671</v>
      </c>
      <c r="I82" s="9" t="s">
        <v>428</v>
      </c>
      <c r="J82" s="9" t="s">
        <v>246</v>
      </c>
      <c r="K82" s="9" t="s">
        <v>246</v>
      </c>
      <c r="L82" s="4"/>
      <c r="M82" s="9"/>
    </row>
    <row r="83" spans="1:13" ht="39" customHeight="1" x14ac:dyDescent="0.3">
      <c r="A83" s="9">
        <v>71</v>
      </c>
      <c r="B83" s="4" t="s">
        <v>672</v>
      </c>
      <c r="C83" s="4" t="s">
        <v>167</v>
      </c>
      <c r="D83" s="4" t="s">
        <v>181</v>
      </c>
      <c r="E83" s="4" t="s">
        <v>180</v>
      </c>
      <c r="F83" s="4" t="s">
        <v>673</v>
      </c>
      <c r="G83" s="4" t="s">
        <v>184</v>
      </c>
      <c r="H83" s="4" t="s">
        <v>674</v>
      </c>
      <c r="I83" s="9" t="s">
        <v>428</v>
      </c>
      <c r="J83" s="9" t="s">
        <v>246</v>
      </c>
      <c r="K83" s="9" t="s">
        <v>246</v>
      </c>
      <c r="L83" s="4"/>
      <c r="M83" s="9"/>
    </row>
    <row r="84" spans="1:13" ht="26.25" customHeight="1" x14ac:dyDescent="0.3">
      <c r="A84" s="9">
        <v>72</v>
      </c>
      <c r="B84" s="4" t="s">
        <v>675</v>
      </c>
      <c r="C84" s="4" t="s">
        <v>167</v>
      </c>
      <c r="D84" s="4" t="s">
        <v>187</v>
      </c>
      <c r="E84" s="4" t="s">
        <v>186</v>
      </c>
      <c r="F84" s="4" t="s">
        <v>676</v>
      </c>
      <c r="G84" s="4" t="s">
        <v>190</v>
      </c>
      <c r="H84" s="4" t="s">
        <v>677</v>
      </c>
      <c r="I84" s="9" t="s">
        <v>428</v>
      </c>
      <c r="J84" s="9" t="s">
        <v>246</v>
      </c>
      <c r="K84" s="9" t="s">
        <v>246</v>
      </c>
      <c r="L84" s="4"/>
      <c r="M84" s="9"/>
    </row>
    <row r="85" spans="1:13" ht="14.25" customHeight="1" x14ac:dyDescent="0.3">
      <c r="A85" s="9">
        <v>73</v>
      </c>
      <c r="B85" s="4" t="s">
        <v>678</v>
      </c>
      <c r="C85" s="4" t="s">
        <v>167</v>
      </c>
      <c r="D85" s="4" t="s">
        <v>193</v>
      </c>
      <c r="E85" s="4" t="s">
        <v>192</v>
      </c>
      <c r="F85" s="4" t="s">
        <v>679</v>
      </c>
      <c r="G85" s="4" t="s">
        <v>196</v>
      </c>
      <c r="H85" s="4" t="s">
        <v>423</v>
      </c>
      <c r="I85" s="9" t="s">
        <v>428</v>
      </c>
      <c r="J85" s="9" t="s">
        <v>246</v>
      </c>
      <c r="K85" s="9" t="s">
        <v>246</v>
      </c>
      <c r="L85" s="4"/>
      <c r="M85" s="9"/>
    </row>
    <row r="86" spans="1:13" ht="23.25" customHeight="1" x14ac:dyDescent="0.3">
      <c r="A86" s="9">
        <v>74</v>
      </c>
      <c r="B86" s="4" t="s">
        <v>680</v>
      </c>
      <c r="C86" s="4" t="s">
        <v>33</v>
      </c>
      <c r="D86" s="4" t="s">
        <v>36</v>
      </c>
      <c r="E86" s="4" t="s">
        <v>35</v>
      </c>
      <c r="F86" s="4" t="s">
        <v>681</v>
      </c>
      <c r="G86" s="4" t="s">
        <v>343</v>
      </c>
      <c r="H86" s="4" t="s">
        <v>682</v>
      </c>
      <c r="I86" s="9" t="s">
        <v>428</v>
      </c>
      <c r="J86" s="9" t="s">
        <v>246</v>
      </c>
      <c r="K86" s="9" t="s">
        <v>246</v>
      </c>
      <c r="L86" s="4" t="s">
        <v>683</v>
      </c>
      <c r="M86" s="9" t="s">
        <v>454</v>
      </c>
    </row>
  </sheetData>
  <autoFilter ref="A12:M85"/>
  <conditionalFormatting sqref="I13:K86">
    <cfRule type="cellIs" dxfId="4" priority="2" operator="equal">
      <formula>"Có"</formula>
    </cfRule>
    <cfRule type="cellIs" dxfId="3" priority="3" operator="equal">
      <formula>"Phòng mình"</formula>
    </cfRule>
    <cfRule type="cellIs" dxfId="2" priority="4" operator="equal">
      <formula>"Nhận"</formula>
    </cfRule>
    <cfRule type="cellIs" dxfId="1" priority="5" operator="equal">
      <formula>"Tự động"</formula>
    </cfRule>
    <cfRule type="cellIs" dxfId="0" priority="6" operator="equal">
      <formula>"—"</formula>
    </cfRule>
  </conditionalFormatting>
  <dataValidations count="2">
    <dataValidation type="list" sqref="I13:K86">
      <formula1>"Có,Phòng mình,Nhận,Tự động,—"</formula1>
      <formula2>0</formula2>
    </dataValidation>
    <dataValidation type="list" allowBlank="1" sqref="M13:M86">
      <formula1>"Y"</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1_Sidebar</vt:lpstr>
      <vt:lpstr>2_PhanQuyen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 Thi Ngoc Ha</cp:lastModifiedBy>
  <cp:revision>0</cp:revision>
  <dcterms:created xsi:type="dcterms:W3CDTF">2026-10-16T12:41:28Z</dcterms:created>
  <dcterms:modified xsi:type="dcterms:W3CDTF">2026-10-16T16:11:09Z</dcterms:modified>
  <dc:language>en-US</dc:language>
</cp:coreProperties>
</file>