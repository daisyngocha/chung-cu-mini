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1_ThucThe" sheetId="1" state="visible" r:id="rId3"/>
    <sheet name="2_ThuocTinh" sheetId="2" state="visible" r:id="rId4"/>
    <sheet name="3_PhuongThuc" sheetId="3" state="visible" r:id="rId5"/>
    <sheet name="4_DanhMuc_Enum" sheetId="4" state="visible" r:id="rId6"/>
    <sheet name="5_QuanHe" sheetId="5" state="visible" r:id="rId7"/>
    <sheet name="6_TrangThai" sheetId="6" state="visible" r:id="rId8"/>
    <sheet name="7_QuyTacNV" sheetId="7" state="visible" r:id="rId9"/>
    <sheet name="8_PhanQuyen" sheetId="8" state="visible" r:id="rId10"/>
    <sheet name="9_ViDu_TestCase" sheetId="9" state="visible" r:id="rId11"/>
    <sheet name="10_ThayDoi_ver1.4" sheetId="10" state="visible" r:id="rId12"/>
  </sheets>
  <definedNames>
    <definedName function="false" hidden="true" localSheetId="0" name="_xlnm._FilterDatabase" vbProcedure="false">1_ThucThe!$A$4:$M$33</definedName>
    <definedName function="false" hidden="true" localSheetId="1" name="_xlnm._FilterDatabase" vbProcedure="false">2_ThuocTinh!$A$4:$N$211</definedName>
    <definedName function="false" hidden="true" localSheetId="2" name="_xlnm._FilterDatabase" vbProcedure="false">3_PhuongThuc!$A$4:$L$100</definedName>
    <definedName function="false" hidden="true" localSheetId="3" name="_xlnm._FilterDatabase" vbProcedure="false">4_DanhMuc_Enum!$A$4:$G$102</definedName>
    <definedName function="false" hidden="true" localSheetId="4" name="_xlnm._FilterDatabase" vbProcedure="false">5_QuanHe!$A$4:$H$33</definedName>
    <definedName function="false" hidden="true" localSheetId="5" name="_xlnm._FilterDatabase" vbProcedure="false">6_TrangThai!$A$4:$G$44</definedName>
    <definedName function="false" hidden="true" localSheetId="6" name="_xlnm._FilterDatabase" vbProcedure="false">7_QuyTacNV!$A$4:$C$31</definedName>
    <definedName function="false" hidden="true" localSheetId="7" name="_xlnm._FilterDatabase" vbProcedure="false">8_PhanQuyen!$A$4:$C$12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<sst xmlns="http://schemas.openxmlformats.org/spreadsheetml/2006/main" count="4521" uniqueCount="2007">
  <si>
    <t xml:space="preserve">1. DANH SÁCH THỰC THỂ / LỚP</t>
  </si>
  <si>
    <t xml:space="preserve">Số thuộc tính và số phương thức đếm bằng công thức từ sheet 2 và 3.</t>
  </si>
  <si>
    <t xml:space="preserve">STT</t>
  </si>
  <si>
    <t xml:space="preserve">Tên lớp</t>
  </si>
  <si>
    <t xml:space="preserve">Tên tiếng Việt</t>
  </si>
  <si>
    <t xml:space="preserve">Loại</t>
  </si>
  <si>
    <t xml:space="preserve">Nhóm nghiệp vụ</t>
  </si>
  <si>
    <t xml:space="preserve">Mô tả</t>
  </si>
  <si>
    <t xml:space="preserve">Khóa chính</t>
  </si>
  <si>
    <t xml:space="preserve">Enum trạng thái</t>
  </si>
  <si>
    <t xml:space="preserve">Quy tắc NV liên quan</t>
  </si>
  <si>
    <t xml:space="preserve">Use case liên quan</t>
  </si>
  <si>
    <t xml:space="preserve">Số thuộc tính</t>
  </si>
  <si>
    <t xml:space="preserve">Số phương thức</t>
  </si>
  <si>
    <t xml:space="preserve">Nguồn</t>
  </si>
  <si>
    <t xml:space="preserve">ToaNha</t>
  </si>
  <si>
    <t xml:space="preserve">Tòa nhà</t>
  </si>
  <si>
    <t xml:space="preserve">Thực thể</t>
  </si>
  <si>
    <t xml:space="preserve">Tòa nhà + Phòng</t>
  </si>
  <si>
    <t xml:space="preserve">Thông tin tòa, cấu hình kỳ thu, tài khoản nhận tiền. Chỉ 1 bản ghi.</t>
  </si>
  <si>
    <t xml:space="preserve">maToa</t>
  </si>
  <si>
    <t xml:space="preserve">—</t>
  </si>
  <si>
    <t xml:space="preserve">UC01.05–UC01.07, UC05.07</t>
  </si>
  <si>
    <t xml:space="preserve">ERD v1.5</t>
  </si>
  <si>
    <t xml:space="preserve">Phong</t>
  </si>
  <si>
    <t xml:space="preserve">Phòng</t>
  </si>
  <si>
    <t xml:space="preserve">Phòng cho thuê (20–30 phòng).</t>
  </si>
  <si>
    <t xml:space="preserve">maPhong</t>
  </si>
  <si>
    <t xml:space="preserve">TrangThaiPhong</t>
  </si>
  <si>
    <t xml:space="preserve">BR-DM-02, BR-DM-03, BR-DM-04, BR-CT-04</t>
  </si>
  <si>
    <t xml:space="preserve">UC02.01, UC02.05, UC02.06, UC03.02, UC08.06</t>
  </si>
  <si>
    <t xml:space="preserve">TaiSan</t>
  </si>
  <si>
    <t xml:space="preserve">Tài sản trong phòng</t>
  </si>
  <si>
    <t xml:space="preserve">Danh mục tài sản của phòng kèm tình trạng.</t>
  </si>
  <si>
    <t xml:space="preserve">maTaiSan</t>
  </si>
  <si>
    <t xml:space="preserve">UC02.02</t>
  </si>
  <si>
    <t xml:space="preserve">BangGia</t>
  </si>
  <si>
    <t xml:space="preserve">Bảng giá</t>
  </si>
  <si>
    <t xml:space="preserve">Đơn giá điện, nước, phí dịch vụ cố định; lưu theo phiên bản hiệu lực.</t>
  </si>
  <si>
    <t xml:space="preserve">maKhoan</t>
  </si>
  <si>
    <t xml:space="preserve">BR-DM-01</t>
  </si>
  <si>
    <t xml:space="preserve">UC02.03, UC02.04, UC05.04</t>
  </si>
  <si>
    <t xml:space="preserve">TaiKhoan</t>
  </si>
  <si>
    <t xml:space="preserve">Tài khoản</t>
  </si>
  <si>
    <t xml:space="preserve">Tài khoản + Thông báo</t>
  </si>
  <si>
    <t xml:space="preserve">Tài khoản đăng nhập của chủ nhà và khách (1 tài khoản/phòng).</t>
  </si>
  <si>
    <t xml:space="preserve">maTaiKhoan</t>
  </si>
  <si>
    <t xml:space="preserve">TrangThaiTK</t>
  </si>
  <si>
    <t xml:space="preserve">BR-CT-01</t>
  </si>
  <si>
    <t xml:space="preserve">UC01.01–UC01.04, UC01.08, UC03.07, UC04.09</t>
  </si>
  <si>
    <t xml:space="preserve">NhatKyThaoTac</t>
  </si>
  <si>
    <t xml:space="preserve">Nhật ký thao tác</t>
  </si>
  <si>
    <t xml:space="preserve">Audit log các thao tác quan trọng.</t>
  </si>
  <si>
    <t xml:space="preserve">maNhatKy</t>
  </si>
  <si>
    <t xml:space="preserve">Mục 11</t>
  </si>
  <si>
    <t xml:space="preserve">UC01.09</t>
  </si>
  <si>
    <t xml:space="preserve">ThongBao</t>
  </si>
  <si>
    <t xml:space="preserve">Thông báo</t>
  </si>
  <si>
    <t xml:space="preserve">Thông báo trong hệ thống (tự động hoặc chủ nhà gửi).</t>
  </si>
  <si>
    <t xml:space="preserve">maThongBao</t>
  </si>
  <si>
    <t xml:space="preserve">UC08.01, UC08.03</t>
  </si>
  <si>
    <t xml:space="preserve">ThongBaoNguoiNhan</t>
  </si>
  <si>
    <t xml:space="preserve">Người nhận thông báo</t>
  </si>
  <si>
    <t xml:space="preserve">Lớp liên kết</t>
  </si>
  <si>
    <t xml:space="preserve">Liên kết thông báo – tài khoản, trạng thái đã đọc.</t>
  </si>
  <si>
    <t xml:space="preserve">maThongBao, maTaiKhoan</t>
  </si>
  <si>
    <t xml:space="preserve">UC08.02</t>
  </si>
  <si>
    <t xml:space="preserve">KhachThue</t>
  </si>
  <si>
    <t xml:space="preserve">Khách thuê</t>
  </si>
  <si>
    <t xml:space="preserve">Hợp đồng thuê phòng</t>
  </si>
  <si>
    <t xml:space="preserve">Hồ sơ người đứng tên hợp đồng; giữ lại để nhận diện khách thuê lại.</t>
  </si>
  <si>
    <t xml:space="preserve">maKhach</t>
  </si>
  <si>
    <t xml:space="preserve">BR-CT-06</t>
  </si>
  <si>
    <t xml:space="preserve">UC03.01, UC03.09</t>
  </si>
  <si>
    <t xml:space="preserve">HopDong</t>
  </si>
  <si>
    <t xml:space="preserve">Hợp đồng thuê</t>
  </si>
  <si>
    <t xml:space="preserve">Điều khoản chính của hợp đồng giấy và vòng đời thuê.</t>
  </si>
  <si>
    <t xml:space="preserve">maHopDong</t>
  </si>
  <si>
    <t xml:space="preserve">TrangThaiHD</t>
  </si>
  <si>
    <t xml:space="preserve">BR-CT-02, BR-CT-03, BR-CT-05, BR-HD-03, BR-TL-01</t>
  </si>
  <si>
    <t xml:space="preserve">UC03.02–UC03.08, UC04.02–UC04.04, UC04.09, UC05.04</t>
  </si>
  <si>
    <t xml:space="preserve">NguoiO</t>
  </si>
  <si>
    <t xml:space="preserve">Người ở cùng</t>
  </si>
  <si>
    <t xml:space="preserve">Người ở cùng khai báo trong hồ sơ phòng (không có tài khoản).</t>
  </si>
  <si>
    <t xml:space="preserve">maNguoiO</t>
  </si>
  <si>
    <t xml:space="preserve">BR-CT-04</t>
  </si>
  <si>
    <t xml:space="preserve">UC03.02</t>
  </si>
  <si>
    <t xml:space="preserve">HopDongDichVu</t>
  </si>
  <si>
    <t xml:space="preserve">Dịch vụ áp dụng theo HĐ</t>
  </si>
  <si>
    <t xml:space="preserve">Phí dịch vụ cố định HĐ đăng ký (internet, vệ sinh, gửi xe…).</t>
  </si>
  <si>
    <t xml:space="preserve">maHopDong, maKhoan</t>
  </si>
  <si>
    <t xml:space="preserve">UC03.03, UC05.04</t>
  </si>
  <si>
    <t xml:space="preserve">BanGiaoTaiSan</t>
  </si>
  <si>
    <t xml:space="preserve">Bàn giao tài sản</t>
  </si>
  <si>
    <t xml:space="preserve">Tình trạng tài sản khi nhận phòng / trả phòng.</t>
  </si>
  <si>
    <t xml:space="preserve">maBanGiao</t>
  </si>
  <si>
    <t xml:space="preserve">BR-TL-02</t>
  </si>
  <si>
    <t xml:space="preserve">UC03.06, UC04.04, UC04.05</t>
  </si>
  <si>
    <t xml:space="preserve">LichSuHopDong</t>
  </si>
  <si>
    <t xml:space="preserve">Lịch sử thay đổi HĐ</t>
  </si>
  <si>
    <t xml:space="preserve">Gia hạn, điều chỉnh giá/phí, thêm bớt người ở (giá trị cũ/mới).</t>
  </si>
  <si>
    <t xml:space="preserve">maLichSu</t>
  </si>
  <si>
    <t xml:space="preserve">UC04.02</t>
  </si>
  <si>
    <t xml:space="preserve">ChiSo</t>
  </si>
  <si>
    <t xml:space="preserve">Chỉ số điện nước</t>
  </si>
  <si>
    <t xml:space="preserve">Thông báo tiền</t>
  </si>
  <si>
    <t xml:space="preserve">Chỉ số công tơ theo kỳ, theo HĐ.</t>
  </si>
  <si>
    <t xml:space="preserve">maChiSo</t>
  </si>
  <si>
    <t xml:space="preserve">BR-HD-02</t>
  </si>
  <si>
    <t xml:space="preserve">UC03.06, UC04.04, UC05.01–UC05.04</t>
  </si>
  <si>
    <t xml:space="preserve">ThongBaoTien</t>
  </si>
  <si>
    <t xml:space="preserve">Thông báo tiền hằng tháng / khi ký HĐ / thu thêm quyết toán.</t>
  </si>
  <si>
    <t xml:space="preserve">maThongBaoTien</t>
  </si>
  <si>
    <t xml:space="preserve">TrangThaiTBT</t>
  </si>
  <si>
    <t xml:space="preserve">BR-HD-01–BR-HD-06, BR-TT-03</t>
  </si>
  <si>
    <t xml:space="preserve">UC05.04–UC05.09, UC06.02, UC06.04–UC06.06, UC06.08, UC07.07</t>
  </si>
  <si>
    <t xml:space="preserve">DongThongBaoTien</t>
  </si>
  <si>
    <t xml:space="preserve">Dòng thông báo tiền</t>
  </si>
  <si>
    <t xml:space="preserve">Chi tiết từng khoản trong thông báo tiền.</t>
  </si>
  <si>
    <t xml:space="preserve">maDong</t>
  </si>
  <si>
    <t xml:space="preserve">BR-HD-05</t>
  </si>
  <si>
    <t xml:space="preserve">UC05.04, UC05.05</t>
  </si>
  <si>
    <t xml:space="preserve">BaoThanhToan</t>
  </si>
  <si>
    <t xml:space="preserve">Báo đã chuyển khoản</t>
  </si>
  <si>
    <t xml:space="preserve">Thanh toán</t>
  </si>
  <si>
    <t xml:space="preserve">Khách báo đã chuyển khoản, chờ chủ nhà xác nhận.</t>
  </si>
  <si>
    <t xml:space="preserve">maBaoTT</t>
  </si>
  <si>
    <t xml:space="preserve">TrangThaiBaoTT</t>
  </si>
  <si>
    <t xml:space="preserve">UC06.01–UC06.03, UC06.05</t>
  </si>
  <si>
    <t xml:space="preserve">PhieuThu</t>
  </si>
  <si>
    <t xml:space="preserve">Phiếu thu</t>
  </si>
  <si>
    <t xml:space="preserve">Chứng từ thu nội bộ (không phải hóa đơn điện tử).</t>
  </si>
  <si>
    <t xml:space="preserve">soPhieuThu</t>
  </si>
  <si>
    <t xml:space="preserve">TrangThaiPT</t>
  </si>
  <si>
    <t xml:space="preserve">BR-TT-02, BR-HD-06</t>
  </si>
  <si>
    <t xml:space="preserve">UC06.04–UC06.07</t>
  </si>
  <si>
    <t xml:space="preserve">QuyetToan</t>
  </si>
  <si>
    <t xml:space="preserve">Quyết toán cọc</t>
  </si>
  <si>
    <t xml:space="preserve">Trả phòng</t>
  </si>
  <si>
    <t xml:space="preserve">Bảng quyết toán khi trả phòng.</t>
  </si>
  <si>
    <t xml:space="preserve">maQuyetToan</t>
  </si>
  <si>
    <t xml:space="preserve">TrangThaiQT</t>
  </si>
  <si>
    <t xml:space="preserve">BR-TL-01, BR-TL-03, BR-TT-04</t>
  </si>
  <si>
    <t xml:space="preserve">UC04.05–UC04.11</t>
  </si>
  <si>
    <t xml:space="preserve">DongQuyetToan</t>
  </si>
  <si>
    <t xml:space="preserve">Dòng quyết toán</t>
  </si>
  <si>
    <t xml:space="preserve">Từng khoản hoàn / trừ trong quyết toán.</t>
  </si>
  <si>
    <t xml:space="preserve">UC04.05</t>
  </si>
  <si>
    <t xml:space="preserve">PhieuChi</t>
  </si>
  <si>
    <t xml:space="preserve">Phiếu chi</t>
  </si>
  <si>
    <t xml:space="preserve">Phiếu chi hoàn cọc.</t>
  </si>
  <si>
    <t xml:space="preserve">soPhieuChi</t>
  </si>
  <si>
    <t xml:space="preserve">UC04.07</t>
  </si>
  <si>
    <t xml:space="preserve">SuCo</t>
  </si>
  <si>
    <t xml:space="preserve">Sự cố</t>
  </si>
  <si>
    <t xml:space="preserve">Sự cố khách báo và quá trình xử lý.</t>
  </si>
  <si>
    <t xml:space="preserve">maSuCo</t>
  </si>
  <si>
    <t xml:space="preserve">TrangThaiSuCo</t>
  </si>
  <si>
    <t xml:space="preserve">BR-SC-01, BR-SC-02, BR-SC-03</t>
  </si>
  <si>
    <t xml:space="preserve">UC05.05, UC07.01–UC07.07</t>
  </si>
  <si>
    <t xml:space="preserve">LichSuSuCo</t>
  </si>
  <si>
    <t xml:space="preserve">Lịch sử xử lý sự cố</t>
  </si>
  <si>
    <t xml:space="preserve">Lịch sử đổi trạng thái sự cố.</t>
  </si>
  <si>
    <t xml:space="preserve">UC07.02</t>
  </si>
  <si>
    <t xml:space="preserve">DichVuThongBaoTien</t>
  </si>
  <si>
    <t xml:space="preserve">Dịch vụ lập thông báo tiền</t>
  </si>
  <si>
    <t xml:space="preserve">Lớp dịch vụ (không lưu CSDL)</t>
  </si>
  <si>
    <t xml:space="preserve">Điều phối lập / phát hành thông báo hàng loạt.</t>
  </si>
  <si>
    <t xml:space="preserve">BR-HD-01, BR-HD-02</t>
  </si>
  <si>
    <t xml:space="preserve">UC05.04, UC05.06</t>
  </si>
  <si>
    <t xml:space="preserve">Đề xuất bổ sung</t>
  </si>
  <si>
    <t xml:space="preserve">BoHenGio</t>
  </si>
  <si>
    <t xml:space="preserve">Bộ hẹn giờ hệ thống</t>
  </si>
  <si>
    <t xml:space="preserve">Tác nhân tự động</t>
  </si>
  <si>
    <t xml:space="preserve">Job chạy hằng ngày: nhắc chỉ số, nhắc hạn, quá hạn, HĐ sắp hết hạn.</t>
  </si>
  <si>
    <t xml:space="preserve">UC04.01, UC05.01, UC06.08</t>
  </si>
  <si>
    <t xml:space="preserve">DichVuViecCanLam</t>
  </si>
  <si>
    <t xml:space="preserve">Danh sách việc cần làm</t>
  </si>
  <si>
    <t xml:space="preserve">Thông báo &amp; báo cáo</t>
  </si>
  <si>
    <t xml:space="preserve">Màn hình chính của chủ nhà.</t>
  </si>
  <si>
    <t xml:space="preserve">UC08.04</t>
  </si>
  <si>
    <t xml:space="preserve">DichVuBaoCao</t>
  </si>
  <si>
    <t xml:space="preserve">Báo cáo vận hành</t>
  </si>
  <si>
    <t xml:space="preserve">Các chỉ số báo cáo cho chủ nhà.</t>
  </si>
  <si>
    <t xml:space="preserve">UC08.05–UC08.09</t>
  </si>
  <si>
    <t xml:space="preserve">DichVuKhoiTao</t>
  </si>
  <si>
    <t xml:space="preserve">Khởi tạo dữ liệu</t>
  </si>
  <si>
    <t xml:space="preserve">Cài đặt (P00)</t>
  </si>
  <si>
    <t xml:space="preserve">Nhập dữ liệu ban đầu của tòa đang vận hành.</t>
  </si>
  <si>
    <t xml:space="preserve">UC01.03, UC01.08</t>
  </si>
  <si>
    <t xml:space="preserve">Tổng</t>
  </si>
  <si>
    <t xml:space="preserve">2. THUỘC TÍNH CỦA TỪNG THỰC THỂ</t>
  </si>
  <si>
    <t xml:space="preserve">Bắt buộc: Y / N / Có điều kiện. Dòng nền vàng = đề xuất bổ sung ngoài ERD v1.6.</t>
  </si>
  <si>
    <t xml:space="preserve">Lớp</t>
  </si>
  <si>
    <t xml:space="preserve">Tên thuộc tính</t>
  </si>
  <si>
    <t xml:space="preserve">Tên hiển thị</t>
  </si>
  <si>
    <t xml:space="preserve">Kiểu (ERD)</t>
  </si>
  <si>
    <t xml:space="preserve">Kiểu CSDL gợi ý</t>
  </si>
  <si>
    <t xml:space="preserve">Định dạng / Mẫu</t>
  </si>
  <si>
    <t xml:space="preserve">Miền giá trị (Data range)</t>
  </si>
  <si>
    <t xml:space="preserve">Bắt buộc</t>
  </si>
  <si>
    <t xml:space="preserve">Khóa</t>
  </si>
  <si>
    <t xml:space="preserve">Tham chiếu (FK →)</t>
  </si>
  <si>
    <t xml:space="preserve">Mặc định</t>
  </si>
  <si>
    <t xml:space="preserve">Mô tả &amp; ràng buộc</t>
  </si>
  <si>
    <t xml:space="preserve">Mã tòa</t>
  </si>
  <si>
    <t xml:space="preserve">String</t>
  </si>
  <si>
    <t xml:space="preserve">VARCHAR(10)</t>
  </si>
  <si>
    <t xml:space="preserve">Cố định 'TOA01'</t>
  </si>
  <si>
    <t xml:space="preserve">Chỉ 1 bản ghi trong toàn hệ thống</t>
  </si>
  <si>
    <t xml:space="preserve">Y</t>
  </si>
  <si>
    <t xml:space="preserve">PK</t>
  </si>
  <si>
    <t xml:space="preserve">TOA01</t>
  </si>
  <si>
    <t xml:space="preserve">Hệ thống cài cho đúng 1 tòa; tạo khi cài đặt, không cho tạo thêm</t>
  </si>
  <si>
    <t xml:space="preserve">tenToa</t>
  </si>
  <si>
    <t xml:space="preserve">Tên tòa</t>
  </si>
  <si>
    <t xml:space="preserve">VARCHAR(100)</t>
  </si>
  <si>
    <t xml:space="preserve">Văn bản tự do</t>
  </si>
  <si>
    <t xml:space="preserve">1–100 ký tự</t>
  </si>
  <si>
    <t xml:space="preserve">In trên thông báo tiền, phiếu thu</t>
  </si>
  <si>
    <t xml:space="preserve">diaChi</t>
  </si>
  <si>
    <t xml:space="preserve">Địa chỉ tòa</t>
  </si>
  <si>
    <t xml:space="preserve">VARCHAR(255)</t>
  </si>
  <si>
    <t xml:space="preserve">1–255 ký tự</t>
  </si>
  <si>
    <t xml:space="preserve">In trên phiếu thu</t>
  </si>
  <si>
    <t xml:space="preserve">noiQuy</t>
  </si>
  <si>
    <t xml:space="preserve">Nội quy</t>
  </si>
  <si>
    <t xml:space="preserve">TEXT</t>
  </si>
  <si>
    <t xml:space="preserve">Văn bản nhiều dòng</t>
  </si>
  <si>
    <t xml:space="preserve">≤ 5.000 ký tự</t>
  </si>
  <si>
    <t xml:space="preserve">N</t>
  </si>
  <si>
    <t xml:space="preserve">Khách xem ở UC01.07</t>
  </si>
  <si>
    <t xml:space="preserve">ngayChotChiSo</t>
  </si>
  <si>
    <t xml:space="preserve">Ngày chốt chỉ số</t>
  </si>
  <si>
    <t xml:space="preserve">int</t>
  </si>
  <si>
    <t xml:space="preserve">TINYINT</t>
  </si>
  <si>
    <t xml:space="preserve">Số nguyên</t>
  </si>
  <si>
    <t xml:space="preserve">1–31; nếu lớn hơn số ngày của tháng → lấy ngày cuối tháng</t>
  </si>
  <si>
    <t xml:space="preserve">31</t>
  </si>
  <si>
    <t xml:space="preserve">Mặc định ngày cuối tháng (P00). Bộ hẹn giờ nhắc ghi chỉ số vào ngày này</t>
  </si>
  <si>
    <t xml:space="preserve">hanThanhToan</t>
  </si>
  <si>
    <t xml:space="preserve">Ngày hạn thanh toán</t>
  </si>
  <si>
    <t xml:space="preserve">Số nguyên (ngày của tháng sau)</t>
  </si>
  <si>
    <t xml:space="preserve">1–28</t>
  </si>
  <si>
    <t xml:space="preserve">5</t>
  </si>
  <si>
    <t xml:space="preserve">Hạn thanh toán = ngày này của tháng T+1 (mặc định ngày 5)</t>
  </si>
  <si>
    <t xml:space="preserve">nganHang</t>
  </si>
  <si>
    <t xml:space="preserve">Ngân hàng nhận tiền</t>
  </si>
  <si>
    <t xml:space="preserve">Mã BIN NAPAS 6 chữ số (vd 970436)</t>
  </si>
  <si>
    <t xml:space="preserve">^\d{6}$</t>
  </si>
  <si>
    <t xml:space="preserve">Cần mã BIN để sinh VietQR; giao diện cho chọn theo tên ngân hàng, lưu mã BIN</t>
  </si>
  <si>
    <t xml:space="preserve">soTaiKhoan</t>
  </si>
  <si>
    <t xml:space="preserve">Số tài khoản</t>
  </si>
  <si>
    <t xml:space="preserve">VARCHAR(20)</t>
  </si>
  <si>
    <t xml:space="preserve">Chỉ chữ số</t>
  </si>
  <si>
    <t xml:space="preserve">^\d{6,19}$</t>
  </si>
  <si>
    <t xml:space="preserve">Tài khoản của chủ nhà; hệ thống không thu hộ (BR-TT-01)</t>
  </si>
  <si>
    <t xml:space="preserve">chuTaiKhoan</t>
  </si>
  <si>
    <t xml:space="preserve">Chủ tài khoản</t>
  </si>
  <si>
    <t xml:space="preserve">CHỮ IN HOA KHÔNG DẤU</t>
  </si>
  <si>
    <t xml:space="preserve">Hiển thị trên VietQR</t>
  </si>
  <si>
    <t xml:space="preserve">tenChuNha</t>
  </si>
  <si>
    <t xml:space="preserve">Tên chủ nhà</t>
  </si>
  <si>
    <t xml:space="preserve">sdtChuNha</t>
  </si>
  <si>
    <t xml:space="preserve">SĐT chủ nhà</t>
  </si>
  <si>
    <t xml:space="preserve">SĐT di động VN</t>
  </si>
  <si>
    <t xml:space="preserve">^0\d{9}$</t>
  </si>
  <si>
    <t xml:space="preserve">diaChiChuNha</t>
  </si>
  <si>
    <t xml:space="preserve">Địa chỉ chủ nhà (in phiếu thu)</t>
  </si>
  <si>
    <t xml:space="preserve">≤ 255 ký tự</t>
  </si>
  <si>
    <t xml:space="preserve">= diaChi</t>
  </si>
  <si>
    <t xml:space="preserve">In trên phiếu thu (P00 bước 3)</t>
  </si>
  <si>
    <t xml:space="preserve">Mã phòng</t>
  </si>
  <si>
    <t xml:space="preserve">Chủ nhà nhập, vd P101</t>
  </si>
  <si>
    <t xml:space="preserve">^[A-Z0-9]{2,10}$; duy nhất</t>
  </si>
  <si>
    <t xml:space="preserve">Dùng trong mã thông báo tiền nên chỉ chữ in hoa + số</t>
  </si>
  <si>
    <t xml:space="preserve">= TOA01</t>
  </si>
  <si>
    <t xml:space="preserve">FK</t>
  </si>
  <si>
    <t xml:space="preserve">ToaNha.maToa</t>
  </si>
  <si>
    <t xml:space="preserve">tang</t>
  </si>
  <si>
    <t xml:space="preserve">Tầng</t>
  </si>
  <si>
    <t xml:space="preserve">0–20 (0 = tầng trệt)</t>
  </si>
  <si>
    <t xml:space="preserve">Dùng để nhóm danh sách ghi chỉ số và sơ đồ tòa</t>
  </si>
  <si>
    <t xml:space="preserve">dienTich</t>
  </si>
  <si>
    <t xml:space="preserve">Diện tích (m²)</t>
  </si>
  <si>
    <t xml:space="preserve">float</t>
  </si>
  <si>
    <t xml:space="preserve">DECIMAL(6,2)</t>
  </si>
  <si>
    <t xml:space="preserve">Số thập phân 2 chữ số</t>
  </si>
  <si>
    <t xml:space="preserve">&gt; 0 và ≤ 200</t>
  </si>
  <si>
    <t xml:space="preserve">soNguoiToiDa</t>
  </si>
  <si>
    <t xml:space="preserve">Số người tối đa</t>
  </si>
  <si>
    <t xml:space="preserve">1–10</t>
  </si>
  <si>
    <t xml:space="preserve">giaNiemYet</t>
  </si>
  <si>
    <t xml:space="preserve">Giá niêm yết (VNĐ/tháng)</t>
  </si>
  <si>
    <t xml:space="preserve">decimal</t>
  </si>
  <si>
    <t xml:space="preserve">DECIMAL(15,0)</t>
  </si>
  <si>
    <t xml:space="preserve">#,##0 đ</t>
  </si>
  <si>
    <t xml:space="preserve">&gt; 0 và ≤ 100.000.000</t>
  </si>
  <si>
    <t xml:space="preserve">BR-DM-02: đổi giá niêm yết không ảnh hưởng HĐ đang hiệu lực</t>
  </si>
  <si>
    <t xml:space="preserve">coCongToNuoc</t>
  </si>
  <si>
    <t xml:space="preserve">Có công tơ nước riêng</t>
  </si>
  <si>
    <t xml:space="preserve">boolean</t>
  </si>
  <si>
    <t xml:space="preserve">BOOLEAN</t>
  </si>
  <si>
    <t xml:space="preserve">true/false</t>
  </si>
  <si>
    <t xml:space="preserve">true</t>
  </si>
  <si>
    <t xml:space="preserve">false → tiền nước tính theo người/tháng (BangGia.loaiKhoan = NUOC_THEO_NGUOI)</t>
  </si>
  <si>
    <t xml:space="preserve">trangThai</t>
  </si>
  <si>
    <t xml:space="preserve">Trạng thái phòng</t>
  </si>
  <si>
    <t xml:space="preserve">Enum</t>
  </si>
  <si>
    <t xml:space="preserve">TRONG | DANG_THUE | NGUNG_KHAI_THAC</t>
  </si>
  <si>
    <t xml:space="preserve">TRONG</t>
  </si>
  <si>
    <t xml:space="preserve">BR-DM-04. Nhãn 'Sắp trả' KHÔNG phải trạng thái – suy ra từ HĐ hiệu lực có ngayBaoTra</t>
  </si>
  <si>
    <t xml:space="preserve">Mã tài sản</t>
  </si>
  <si>
    <t xml:space="preserve">TS + số</t>
  </si>
  <si>
    <t xml:space="preserve">Hệ thống sinh</t>
  </si>
  <si>
    <t xml:space="preserve">Tự sinh</t>
  </si>
  <si>
    <t xml:space="preserve">Tồn tại trong Phong</t>
  </si>
  <si>
    <t xml:space="preserve">Phong.maPhong</t>
  </si>
  <si>
    <t xml:space="preserve">tenTaiSan</t>
  </si>
  <si>
    <t xml:space="preserve">Tên tài sản</t>
  </si>
  <si>
    <t xml:space="preserve">vd Điều hòa, Tủ lạnh, Giường</t>
  </si>
  <si>
    <t xml:space="preserve">soLuong</t>
  </si>
  <si>
    <t xml:space="preserve">Số lượng</t>
  </si>
  <si>
    <t xml:space="preserve">SMALLINT</t>
  </si>
  <si>
    <t xml:space="preserve">≥ 1</t>
  </si>
  <si>
    <t xml:space="preserve">1</t>
  </si>
  <si>
    <t xml:space="preserve">tinhTrang</t>
  </si>
  <si>
    <t xml:space="preserve">Tình trạng hiện tại</t>
  </si>
  <si>
    <t xml:space="preserve">Văn bản ngắn</t>
  </si>
  <si>
    <t xml:space="preserve">Tốt</t>
  </si>
  <si>
    <t xml:space="preserve">Cập nhật lại sau mỗi lần bàn giao</t>
  </si>
  <si>
    <t xml:space="preserve">ghiChu</t>
  </si>
  <si>
    <t xml:space="preserve">Ghi chú</t>
  </si>
  <si>
    <t xml:space="preserve">VARCHAR(500)</t>
  </si>
  <si>
    <t xml:space="preserve">≤ 500 ký tự</t>
  </si>
  <si>
    <t xml:space="preserve">Mã khoản giá</t>
  </si>
  <si>
    <t xml:space="preserve">BG + số</t>
  </si>
  <si>
    <t xml:space="preserve">Hệ thống sinh; mỗi lần đổi giá tạo bản ghi mới</t>
  </si>
  <si>
    <t xml:space="preserve">Lưu theo phiên bản hiệu lực để tra giá tại một ngày (BR-DM-01)</t>
  </si>
  <si>
    <t xml:space="preserve">tenKhoan</t>
  </si>
  <si>
    <t xml:space="preserve">Tên khoản</t>
  </si>
  <si>
    <t xml:space="preserve">vd Điện, Nước, Internet, Vệ sinh, Gửi xe máy</t>
  </si>
  <si>
    <t xml:space="preserve">loaiKhoan</t>
  </si>
  <si>
    <t xml:space="preserve">Loại khoản</t>
  </si>
  <si>
    <t xml:space="preserve">LoaiKhoan</t>
  </si>
  <si>
    <t xml:space="preserve">VARCHAR(30)</t>
  </si>
  <si>
    <t xml:space="preserve">DIEN | NUOC | NUOC_THEO_NGUOI | DICH_VU_THEO_PHONG | DICH_VU_THEO_XE</t>
  </si>
  <si>
    <t xml:space="preserve">Xem sheet 4_DanhMuc_Enum</t>
  </si>
  <si>
    <t xml:space="preserve">donGia</t>
  </si>
  <si>
    <t xml:space="preserve">Đơn giá (VNĐ)</t>
  </si>
  <si>
    <t xml:space="preserve">≥ 0</t>
  </si>
  <si>
    <t xml:space="preserve">Điện/nước không bậc thang</t>
  </si>
  <si>
    <t xml:space="preserve">donViTinh</t>
  </si>
  <si>
    <t xml:space="preserve">Đơn vị tính</t>
  </si>
  <si>
    <t xml:space="preserve">kWh | m3 | người/tháng | phòng/tháng | xe/tháng</t>
  </si>
  <si>
    <t xml:space="preserve">Khớp với loaiKhoan</t>
  </si>
  <si>
    <t xml:space="preserve">ngayApDung</t>
  </si>
  <si>
    <t xml:space="preserve">Ngày áp dụng</t>
  </si>
  <si>
    <t xml:space="preserve">Date</t>
  </si>
  <si>
    <t xml:space="preserve">DATE</t>
  </si>
  <si>
    <t xml:space="preserve">yyyy-MM-dd</t>
  </si>
  <si>
    <t xml:space="preserve">ngayHetHieuLuc</t>
  </si>
  <si>
    <t xml:space="preserve">Ngày hết hiệu lực</t>
  </si>
  <si>
    <t xml:space="preserve">NULL hoặc ≥ ngayApDung (tính cả ngày này)</t>
  </si>
  <si>
    <t xml:space="preserve">NULL</t>
  </si>
  <si>
    <t xml:space="preserve">NULL = đang áp dụng. Không chồng lấn hiệu lực giữa các bản ghi cùng tenKhoan</t>
  </si>
  <si>
    <t xml:space="preserve">Mã tài khoản</t>
  </si>
  <si>
    <t xml:space="preserve">TK + 4 số, vd TK0001</t>
  </si>
  <si>
    <t xml:space="preserve">Hệ thống sinh, duy nhất</t>
  </si>
  <si>
    <t xml:space="preserve">tenDangNhap</t>
  </si>
  <si>
    <t xml:space="preserve">Tên đăng nhập (SĐT)</t>
  </si>
  <si>
    <t xml:space="preserve">^0\d{9}$; duy nhất toàn hệ thống</t>
  </si>
  <si>
    <t xml:space="preserve">UK</t>
  </si>
  <si>
    <t xml:space="preserve">BR-CT-01: SĐT là tên đăng nhập, duy nhất. Khách thuê lại dùng lại tài khoản cũ (mở khóa)</t>
  </si>
  <si>
    <t xml:space="preserve">matKhauHash</t>
  </si>
  <si>
    <t xml:space="preserve">Mật khẩu (băm)</t>
  </si>
  <si>
    <t xml:space="preserve">Chuỗi băm bcrypt/argon2</t>
  </si>
  <si>
    <t xml:space="preserve">Mật khẩu gốc ≥ 8 ký tự (giả định)</t>
  </si>
  <si>
    <t xml:space="preserve">Không bao giờ lưu/hiển thị mật khẩu gốc (mục 11)</t>
  </si>
  <si>
    <t xml:space="preserve">vaiTro</t>
  </si>
  <si>
    <t xml:space="preserve">Vai trò</t>
  </si>
  <si>
    <t xml:space="preserve">VaiTro</t>
  </si>
  <si>
    <t xml:space="preserve">CHU_NHA | KHACH_THUE</t>
  </si>
  <si>
    <t xml:space="preserve">Chỉ có đúng 1 tài khoản CHU_NHA, tạo sẵn khi cài đặt</t>
  </si>
  <si>
    <t xml:space="preserve">Trạng thái</t>
  </si>
  <si>
    <t xml:space="preserve">HOAT_DONG | KHOA_TAM | DA_KHOA</t>
  </si>
  <si>
    <t xml:space="preserve">HOAT_DONG</t>
  </si>
  <si>
    <t xml:space="preserve">KHOA_TAM sau 5 lần sai; DA_KHOA khi thanh lý HĐ hoặc chủ nhà khóa</t>
  </si>
  <si>
    <t xml:space="preserve">soLanSai</t>
  </si>
  <si>
    <t xml:space="preserve">Số lần nhập sai</t>
  </si>
  <si>
    <t xml:space="preserve">0–5</t>
  </si>
  <si>
    <t xml:space="preserve">0</t>
  </si>
  <si>
    <t xml:space="preserve">Đủ 5 → KHOA_TAM; đăng nhập đúng hoặc đặt lại mật khẩu → 0</t>
  </si>
  <si>
    <t xml:space="preserve">phaiDoiMatKhau</t>
  </si>
  <si>
    <t xml:space="preserve">Bắt buộc đổi mật khẩu</t>
  </si>
  <si>
    <t xml:space="preserve">true khi tạo mới hoặc đặt lại → buộc đổi ở lần đăng nhập đầu</t>
  </si>
  <si>
    <t xml:space="preserve">ngayTao</t>
  </si>
  <si>
    <t xml:space="preserve">Ngày tạo</t>
  </si>
  <si>
    <t xml:space="preserve">DateTime</t>
  </si>
  <si>
    <t xml:space="preserve">TIMESTAMP</t>
  </si>
  <si>
    <t xml:space="preserve">yyyy-MM-dd HH:mm:ss</t>
  </si>
  <si>
    <t xml:space="preserve">now()</t>
  </si>
  <si>
    <t xml:space="preserve">khoaDenLuc</t>
  </si>
  <si>
    <t xml:space="preserve">Khóa tạm đến</t>
  </si>
  <si>
    <t xml:space="preserve">&gt; thời điểm khóa</t>
  </si>
  <si>
    <t xml:space="preserve">Mở khóa tạm tự động khi hết thời điểm này; thời lượng khóa giả định 15 phút (tài liệu chưa nêu)</t>
  </si>
  <si>
    <t xml:space="preserve">Mã nhật ký</t>
  </si>
  <si>
    <t xml:space="preserve">NK + số tăng dần</t>
  </si>
  <si>
    <t xml:space="preserve">Chỉ thêm, không sửa/xóa</t>
  </si>
  <si>
    <t xml:space="preserve">Tài khoản thực hiện</t>
  </si>
  <si>
    <t xml:space="preserve">Tồn tại trong TaiKhoan</t>
  </si>
  <si>
    <t xml:space="preserve">TaiKhoan.maTaiKhoan</t>
  </si>
  <si>
    <t xml:space="preserve">NULL = Bộ hẹn giờ hệ thống thực hiện</t>
  </si>
  <si>
    <t xml:space="preserve">thoiDiem</t>
  </si>
  <si>
    <t xml:space="preserve">Thời điểm</t>
  </si>
  <si>
    <t xml:space="preserve">doiTuong</t>
  </si>
  <si>
    <t xml:space="preserve">Đối tượng</t>
  </si>
  <si>
    <t xml:space="preserve">HopDong | ThongBaoTien | PhieuThu | PhieuChi | ChiSo | DanhSachTamTru | TaiKhoan | BangGia | QuyetToan | Phong</t>
  </si>
  <si>
    <t xml:space="preserve">Mục 11: bắt buộc ghi cho HĐ, thông báo tiền, phiếu thu, chỉ số, xuất tạm trú</t>
  </si>
  <si>
    <t xml:space="preserve">ERD v1.5 · sửa ver1.4</t>
  </si>
  <si>
    <t xml:space="preserve">maDoiTuong</t>
  </si>
  <si>
    <t xml:space="preserve">Mã đối tượng</t>
  </si>
  <si>
    <t xml:space="preserve">Khóa chính của bản ghi bị tác động</t>
  </si>
  <si>
    <t xml:space="preserve">hanhDong</t>
  </si>
  <si>
    <t xml:space="preserve">Hành động</t>
  </si>
  <si>
    <t xml:space="preserve">Mã hành động</t>
  </si>
  <si>
    <t xml:space="preserve">TAO | SUA | HUY | PHAT_HANH | XAC_NHAN | TU_CHOI | XUAT_FILE | DANG_NHAP</t>
  </si>
  <si>
    <t xml:space="preserve">noiDung</t>
  </si>
  <si>
    <t xml:space="preserve">Nội dung</t>
  </si>
  <si>
    <t xml:space="preserve">JSON {truong: [cu, moi]} hoặc mô tả</t>
  </si>
  <si>
    <t xml:space="preserve">≤ 4.000 ký tự</t>
  </si>
  <si>
    <t xml:space="preserve">Mã thông báo</t>
  </si>
  <si>
    <t xml:space="preserve">Thông báo trong hệ thống (chuông), không gửi SMS/Zalo</t>
  </si>
  <si>
    <t xml:space="preserve">loaiSuKien</t>
  </si>
  <si>
    <t xml:space="preserve">Loại sự kiện</t>
  </si>
  <si>
    <t xml:space="preserve">LoaiSuKien</t>
  </si>
  <si>
    <t xml:space="preserve">tieuDe</t>
  </si>
  <si>
    <t xml:space="preserve">Tiêu đề</t>
  </si>
  <si>
    <t xml:space="preserve">VARCHAR(150)</t>
  </si>
  <si>
    <t xml:space="preserve">1–150 ký tự</t>
  </si>
  <si>
    <t xml:space="preserve">≤ 2.000 ký tự</t>
  </si>
  <si>
    <t xml:space="preserve">nguon</t>
  </si>
  <si>
    <t xml:space="preserve">NguonTB</t>
  </si>
  <si>
    <t xml:space="preserve">TU_DONG | CHU_NHA</t>
  </si>
  <si>
    <t xml:space="preserve">TU_DONG</t>
  </si>
  <si>
    <t xml:space="preserve">phamVi</t>
  </si>
  <si>
    <t xml:space="preserve">Phạm vi</t>
  </si>
  <si>
    <t xml:space="preserve">PhamViTB</t>
  </si>
  <si>
    <t xml:space="preserve">CA_NHAN | TOAN_TOA</t>
  </si>
  <si>
    <t xml:space="preserve">CA_NHAN</t>
  </si>
  <si>
    <t xml:space="preserve">doiTuongLienQuan</t>
  </si>
  <si>
    <t xml:space="preserve">Đối tượng liên quan</t>
  </si>
  <si>
    <t xml:space="preserve">VARCHAR(50)</t>
  </si>
  <si>
    <t xml:space="preserve">TenLop:ma, vd ThongBaoTien:TB2610P101</t>
  </si>
  <si>
    <t xml:space="preserve">Để mở thẳng màn hình chi tiết khi bấm thông báo</t>
  </si>
  <si>
    <t xml:space="preserve">PK, FK</t>
  </si>
  <si>
    <t xml:space="preserve">ThongBao.maThongBao</t>
  </si>
  <si>
    <t xml:space="preserve">Mã tài khoản nhận</t>
  </si>
  <si>
    <t xml:space="preserve">daDoc</t>
  </si>
  <si>
    <t xml:space="preserve">Đã đọc</t>
  </si>
  <si>
    <t xml:space="preserve">false</t>
  </si>
  <si>
    <t xml:space="preserve">thoiDiemDoc</t>
  </si>
  <si>
    <t xml:space="preserve">Thời điểm đọc</t>
  </si>
  <si>
    <t xml:space="preserve">Mã khách</t>
  </si>
  <si>
    <t xml:space="preserve">KH + 4 số</t>
  </si>
  <si>
    <t xml:space="preserve">Hồ sơ giữ lại sau khi trả phòng (BR-CT-06)</t>
  </si>
  <si>
    <t xml:space="preserve">soDienThoai</t>
  </si>
  <si>
    <t xml:space="preserve">Số điện thoại</t>
  </si>
  <si>
    <t xml:space="preserve">^0\d{9}$; duy nhất</t>
  </si>
  <si>
    <t xml:space="preserve">Khóa để gọi lại hồ sơ khi khách thuê lại</t>
  </si>
  <si>
    <t xml:space="preserve">hoTen</t>
  </si>
  <si>
    <t xml:space="preserve">Họ tên</t>
  </si>
  <si>
    <t xml:space="preserve">Có dấu tiếng Việt</t>
  </si>
  <si>
    <t xml:space="preserve">ngaySinh</t>
  </si>
  <si>
    <t xml:space="preserve">Ngày sinh</t>
  </si>
  <si>
    <t xml:space="preserve">&lt; ngày hiện tại; người đứng tên HĐ ≥ 18 tuổi (giả định)</t>
  </si>
  <si>
    <t xml:space="preserve">Cần cho khai báo tạm trú</t>
  </si>
  <si>
    <t xml:space="preserve">soCCCD</t>
  </si>
  <si>
    <t xml:space="preserve">Số CCCD</t>
  </si>
  <si>
    <t xml:space="preserve">VARCHAR(12)</t>
  </si>
  <si>
    <t xml:space="preserve">12 chữ số</t>
  </si>
  <si>
    <t xml:space="preserve">^\d{12}$; nên duy nhất</t>
  </si>
  <si>
    <t xml:space="preserve">Chỉ chủ nhà xem đầy đủ (BR-CT-06)</t>
  </si>
  <si>
    <t xml:space="preserve">anhCCCD</t>
  </si>
  <si>
    <t xml:space="preserve">Ảnh CCCD</t>
  </si>
  <si>
    <t xml:space="preserve">Đường dẫn file ảnh (jpg/png/webp, ≤ 5MB/ảnh); nhiều ảnh lưu mảng JSON (mặt trước, mặt sau)</t>
  </si>
  <si>
    <t xml:space="preserve">Lưu thư mục KHÔNG công khai, chỉ tài khoản chủ nhà mở được (mục 11)</t>
  </si>
  <si>
    <t xml:space="preserve">queQuan</t>
  </si>
  <si>
    <t xml:space="preserve">Quê quán</t>
  </si>
  <si>
    <t xml:space="preserve">noiLamViec</t>
  </si>
  <si>
    <t xml:space="preserve">Nơi làm việc / trường</t>
  </si>
  <si>
    <t xml:space="preserve">Mã hợp đồng</t>
  </si>
  <si>
    <t xml:space="preserve">HD + yyMMdd + maPhong, vd HD261016P101</t>
  </si>
  <si>
    <t xml:space="preserve">Duy nhất</t>
  </si>
  <si>
    <t xml:space="preserve">BR-CT-03: mỗi phòng tối đa 1 HĐ ở trạng thái CHO_NHAN_PHONG/HIEU_LUC</t>
  </si>
  <si>
    <t xml:space="preserve">Người đứng tên</t>
  </si>
  <si>
    <t xml:space="preserve">Tồn tại trong KhachThue</t>
  </si>
  <si>
    <t xml:space="preserve">KhachThue.maKhach</t>
  </si>
  <si>
    <t xml:space="preserve">Phụ huynh đứng tên cho sinh viên: phụ huynh là maKhach, sinh viên là NguoiO</t>
  </si>
  <si>
    <t xml:space="preserve">Tài khoản khách của phòng</t>
  </si>
  <si>
    <t xml:space="preserve">Tồn tại trong TaiKhoan (vaiTro = KHACH_THUE)</t>
  </si>
  <si>
    <t xml:space="preserve">NULL tới khi cấp tài khoản (P01 bước 5). Có thể cấp cho người trực tiếp thanh toán, không nhất thiết người đứng tên</t>
  </si>
  <si>
    <t xml:space="preserve">maNguoiOCapTK</t>
  </si>
  <si>
    <t xml:space="preserve">Người được cấp tài khoản</t>
  </si>
  <si>
    <t xml:space="preserve">NULL hoặc NguoiO thuộc chính HĐ này</t>
  </si>
  <si>
    <t xml:space="preserve">NguoiO.maNguoiO</t>
  </si>
  <si>
    <t xml:space="preserve">NULL = tài khoản cấp cho người đứng tên (KhachThue); có giá trị = cấp cho người ở cùng (vd sinh viên khi phụ huynh đứng tên – P01 Ngoại lệ). SĐT đăng nhập lấy từ người được cấp</t>
  </si>
  <si>
    <t xml:space="preserve">Bổ sung ver1.4 (Sidebar v1.3)</t>
  </si>
  <si>
    <t xml:space="preserve">ngayBatDau</t>
  </si>
  <si>
    <t xml:space="preserve">Ngày bắt đầu</t>
  </si>
  <si>
    <t xml:space="preserve">ngayHetHan</t>
  </si>
  <si>
    <t xml:space="preserve">Ngày hết hạn</t>
  </si>
  <si>
    <t xml:space="preserve">≥ ngayBatDau + 3 tháng − 1 ngày</t>
  </si>
  <si>
    <t xml:space="preserve">BR-CT-02 (vd 16/10/2026 → tối thiểu 15/01/2027)</t>
  </si>
  <si>
    <t xml:space="preserve">giaThue</t>
  </si>
  <si>
    <t xml:space="preserve">Giá thuê (VNĐ/tháng)</t>
  </si>
  <si>
    <t xml:space="preserve">&gt; 0</t>
  </si>
  <si>
    <t xml:space="preserve">= Phong.giaNiemYet</t>
  </si>
  <si>
    <t xml:space="preserve">Giá hiện hành; lịch sử giá ở LichSuHopDong (ngayApDung)</t>
  </si>
  <si>
    <t xml:space="preserve">tienCoc</t>
  </si>
  <si>
    <t xml:space="preserve">Tiền cọc (VNĐ)</t>
  </si>
  <si>
    <t xml:space="preserve">= giaThue (1 tháng)</t>
  </si>
  <si>
    <t xml:space="preserve">Theo dõi riêng, chỉ cấn trừ khi quyết toán (BR-TT-04)</t>
  </si>
  <si>
    <t xml:space="preserve">mucPhatTraTruoc</t>
  </si>
  <si>
    <t xml:space="preserve">Mức phạt trả trước hạn (VNĐ)</t>
  </si>
  <si>
    <t xml:space="preserve">BR-TL-01</t>
  </si>
  <si>
    <t xml:space="preserve">anhHopDong</t>
  </si>
  <si>
    <t xml:space="preserve">Ảnh hợp đồng đã ký</t>
  </si>
  <si>
    <t xml:space="preserve">VARCHAR(1000)</t>
  </si>
  <si>
    <t xml:space="preserve">Đường dẫn file ảnh (jpg/png/webp, ≤ 5MB/ảnh); nhiều ảnh lưu mảng JSON; cho phép PDF</t>
  </si>
  <si>
    <t xml:space="preserve">Bắt buộc với HĐ ký mới (P01 bước 2); để trống được với dữ liệu khởi tạo của tòa đang vận hành</t>
  </si>
  <si>
    <t xml:space="preserve">ngayNhanPhong</t>
  </si>
  <si>
    <t xml:space="preserve">Ngày nhận phòng</t>
  </si>
  <si>
    <t xml:space="preserve">≥ ngayBatDau</t>
  </si>
  <si>
    <t xml:space="preserve">Ghi khi xacNhanNhanPhong()</t>
  </si>
  <si>
    <t xml:space="preserve">ngayBaoTra</t>
  </si>
  <si>
    <t xml:space="preserve">Ngày báo trả</t>
  </si>
  <si>
    <t xml:space="preserve">Có giá trị → phòng hiện nhãn 'Sắp trả'</t>
  </si>
  <si>
    <t xml:space="preserve">ngayTraDuKien</t>
  </si>
  <si>
    <t xml:space="preserve">Ngày trả dự kiến</t>
  </si>
  <si>
    <t xml:space="preserve">≥ ngayBaoTra</t>
  </si>
  <si>
    <t xml:space="preserve">ngayTraThucTe</t>
  </si>
  <si>
    <t xml:space="preserve">Ngày trả thực tế</t>
  </si>
  <si>
    <t xml:space="preserve">≥ ngayNhanPhong</t>
  </si>
  <si>
    <t xml:space="preserve">Ngày trả không tính tiền (tỷ lệ ngày ở)</t>
  </si>
  <si>
    <t xml:space="preserve">Trạng thái HĐ</t>
  </si>
  <si>
    <t xml:space="preserve">CHO_NHAN_PHONG | HIEU_LUC | DA_THANH_LY</t>
  </si>
  <si>
    <t xml:space="preserve">CHO_NHAN_PHONG</t>
  </si>
  <si>
    <t xml:space="preserve">Theo sơ đồ trạng thái Hợp đồng (QuyTrinh v1.3)</t>
  </si>
  <si>
    <t xml:space="preserve">lyDoNhanPhongChuaThuDu</t>
  </si>
  <si>
    <t xml:space="preserve">Lý do nhận phòng khi chưa thu đủ</t>
  </si>
  <si>
    <t xml:space="preserve">Bắt buộc khi xác nhận nhận phòng mà thông báo tiền ký HĐ chưa thu đủ (BR-CT-05)</t>
  </si>
  <si>
    <t xml:space="preserve">loaiKetThuc</t>
  </si>
  <si>
    <t xml:space="preserve">Lý do kết thúc HĐ</t>
  </si>
  <si>
    <t xml:space="preserve">LoaiKetThuc</t>
  </si>
  <si>
    <t xml:space="preserve">KHACH_BAO_TRA | HET_HAN | CHAM_DUT_VI_PHAM</t>
  </si>
  <si>
    <t xml:space="preserve">Ghi khi bắt đầu P05: khách báo trả, hết hạn không gia hạn, chủ nhà chấm dứt do vi phạm</t>
  </si>
  <si>
    <t xml:space="preserve">daThuHoiChiaKhoa</t>
  </si>
  <si>
    <t xml:space="preserve">Đã thu hồi chìa khóa</t>
  </si>
  <si>
    <t xml:space="preserve">Ghi khi kiểm tra phòng trả (P05 bước 2, CN-04.01); thanh lý cảnh báo nếu còn false</t>
  </si>
  <si>
    <t xml:space="preserve">Mã người ở</t>
  </si>
  <si>
    <t xml:space="preserve">NO + số</t>
  </si>
  <si>
    <t xml:space="preserve">Không có tài khoản đăng nhập</t>
  </si>
  <si>
    <t xml:space="preserve">Tồn tại trong HopDong</t>
  </si>
  <si>
    <t xml:space="preserve">HopDong.maHopDong</t>
  </si>
  <si>
    <t xml:space="preserve">^\d{12}$</t>
  </si>
  <si>
    <t xml:space="preserve">Để trống được với trẻ em chưa có CCCD</t>
  </si>
  <si>
    <t xml:space="preserve">Có điều kiện</t>
  </si>
  <si>
    <t xml:space="preserve">Bắt buộc khi người ở cùng được chọn cấp tài khoản (HopDong.maNguoiOCapTK); dùng làm tên đăng nhập</t>
  </si>
  <si>
    <t xml:space="preserve">ngayVao</t>
  </si>
  <si>
    <t xml:space="preserve">Ngày vào ở</t>
  </si>
  <si>
    <t xml:space="preserve">≥ HopDong.ngayBatDau</t>
  </si>
  <si>
    <t xml:space="preserve">= HopDong.ngayNhanPhong</t>
  </si>
  <si>
    <t xml:space="preserve">ngayRa</t>
  </si>
  <si>
    <t xml:space="preserve">Ngày rời đi</t>
  </si>
  <si>
    <t xml:space="preserve">NULL hoặc ≥ ngayVao</t>
  </si>
  <si>
    <t xml:space="preserve">NULL = đang ở; đếm số người theo BR-CT-04</t>
  </si>
  <si>
    <t xml:space="preserve">Mã khoản phí</t>
  </si>
  <si>
    <t xml:space="preserve">BangGia có loaiKhoan DICH_VU_*</t>
  </si>
  <si>
    <t xml:space="preserve">BangGia.maKhoan</t>
  </si>
  <si>
    <t xml:space="preserve">Chỉ phí dịch vụ cố định; điện/nước không đăng ký ở đây</t>
  </si>
  <si>
    <t xml:space="preserve">Số xe với gửi xe; 1 với phí theo phòng</t>
  </si>
  <si>
    <t xml:space="preserve">mucPhi</t>
  </si>
  <si>
    <t xml:space="preserve">Mức phí (VNĐ/đơn vị/tháng)</t>
  </si>
  <si>
    <t xml:space="preserve">= BangGia.donGia lúc ký</t>
  </si>
  <si>
    <t xml:space="preserve">Chụp giá tại thời điểm ký; đổi mức phí qua LichSuHopDong</t>
  </si>
  <si>
    <t xml:space="preserve">= HopDong.ngayBatDau</t>
  </si>
  <si>
    <t xml:space="preserve">Mã bàn giao</t>
  </si>
  <si>
    <t xml:space="preserve">BGTS + số</t>
  </si>
  <si>
    <t xml:space="preserve">Thuộc phòng của HĐ</t>
  </si>
  <si>
    <t xml:space="preserve">TaiSan.maTaiSan</t>
  </si>
  <si>
    <t xml:space="preserve">loaiBanGiao</t>
  </si>
  <si>
    <t xml:space="preserve">Loại bàn giao</t>
  </si>
  <si>
    <t xml:space="preserve">LoaiBanGiao</t>
  </si>
  <si>
    <t xml:space="preserve">NHAN_PHONG | TRA_PHONG</t>
  </si>
  <si>
    <t xml:space="preserve">ngayBanGiao</t>
  </si>
  <si>
    <t xml:space="preserve">Ngày bàn giao</t>
  </si>
  <si>
    <t xml:space="preserve">today()</t>
  </si>
  <si>
    <t xml:space="preserve">Tình trạng</t>
  </si>
  <si>
    <t xml:space="preserve">anh</t>
  </si>
  <si>
    <t xml:space="preserve">Ảnh</t>
  </si>
  <si>
    <t xml:space="preserve">Đường dẫn file ảnh (jpg/png/webp, ≤ 5MB/ảnh); nhiều ảnh lưu mảng JSON</t>
  </si>
  <si>
    <t xml:space="preserve">Bắt buộc khi TRA_PHONG có hư hỏng (BR-TL-02)</t>
  </si>
  <si>
    <t xml:space="preserve">chiPhiHuHong</t>
  </si>
  <si>
    <t xml:space="preserve">Chi phí hư hỏng (VNĐ)</t>
  </si>
  <si>
    <t xml:space="preserve">Chỉ dùng khi loaiBanGiao = TRA_PHONG</t>
  </si>
  <si>
    <t xml:space="preserve">Mã lịch sử</t>
  </si>
  <si>
    <t xml:space="preserve">LSHD + số</t>
  </si>
  <si>
    <t xml:space="preserve">ngayThayDoi</t>
  </si>
  <si>
    <t xml:space="preserve">Ngày thay đổi</t>
  </si>
  <si>
    <t xml:space="preserve">loaiThayDoi</t>
  </si>
  <si>
    <t xml:space="preserve">Loại thay đổi</t>
  </si>
  <si>
    <t xml:space="preserve">LoaiThayDoi</t>
  </si>
  <si>
    <t xml:space="preserve">GIA_HAN | DIEU_CHINH_GIA | DIEU_CHINH_PHI | THEM_NGUOI_O | BOT_NGUOI_O</t>
  </si>
  <si>
    <t xml:space="preserve">truongThayDoi</t>
  </si>
  <si>
    <t xml:space="preserve">Trường thay đổi</t>
  </si>
  <si>
    <t xml:space="preserve">vd ngayHetHan, giaThue, mucPhi:BG0003, nguoiO</t>
  </si>
  <si>
    <t xml:space="preserve">giaTriCu</t>
  </si>
  <si>
    <t xml:space="preserve">Giá trị cũ</t>
  </si>
  <si>
    <t xml:space="preserve">Chuỗi</t>
  </si>
  <si>
    <t xml:space="preserve">NULL khi thêm mới (vd thêm người ở)</t>
  </si>
  <si>
    <t xml:space="preserve">giaTriMoi</t>
  </si>
  <si>
    <t xml:space="preserve">Giá trị mới</t>
  </si>
  <si>
    <t xml:space="preserve">Điều chỉnh giá/phí: ngày 1 của tháng; gia hạn: ngayHetHan cũ + 1</t>
  </si>
  <si>
    <t xml:space="preserve">tinhTienPhong() dùng mốc này để áp giá theo từng giai đoạn</t>
  </si>
  <si>
    <t xml:space="preserve">anhPhuLuc</t>
  </si>
  <si>
    <t xml:space="preserve">Ảnh phụ lục</t>
  </si>
  <si>
    <t xml:space="preserve">Bắt buộc với GIA_HAN, DIEU_CHINH_GIA, DIEU_CHINH_PHI (P04)</t>
  </si>
  <si>
    <t xml:space="preserve">Mã chỉ số</t>
  </si>
  <si>
    <t xml:space="preserve">CS + số</t>
  </si>
  <si>
    <t xml:space="preserve">HĐ CHO_NHAN_PHONG/HIEU_LUC</t>
  </si>
  <si>
    <t xml:space="preserve">Chỉ số gắn HĐ (không gắn phòng) để tách người thuê cũ/mới</t>
  </si>
  <si>
    <t xml:space="preserve">loaiCongTo</t>
  </si>
  <si>
    <t xml:space="preserve">Loại công tơ</t>
  </si>
  <si>
    <t xml:space="preserve">LoaiCongTo</t>
  </si>
  <si>
    <t xml:space="preserve">DIEN | NUOC</t>
  </si>
  <si>
    <t xml:space="preserve">NUOC chỉ ghi khi Phong.coCongToNuoc = true</t>
  </si>
  <si>
    <t xml:space="preserve">kyThang</t>
  </si>
  <si>
    <t xml:space="preserve">Kỳ tháng</t>
  </si>
  <si>
    <t xml:space="preserve">CHAR(7)</t>
  </si>
  <si>
    <t xml:space="preserve">yyyy-MM</t>
  </si>
  <si>
    <t xml:space="preserve">Tháng hợp lệ</t>
  </si>
  <si>
    <t xml:space="preserve">UK đề xuất: (maHopDong, loaiCongTo, kyThang, loaiGhi)</t>
  </si>
  <si>
    <t xml:space="preserve">loaiGhi</t>
  </si>
  <si>
    <t xml:space="preserve">Loại ghi</t>
  </si>
  <si>
    <t xml:space="preserve">LoaiGhi</t>
  </si>
  <si>
    <t xml:space="preserve">DAU_KY | HANG_THANG | CUOI_KY</t>
  </si>
  <si>
    <t xml:space="preserve">HANG_THANG</t>
  </si>
  <si>
    <t xml:space="preserve">DAU_KY khi nhận phòng/khởi tạo; CUOI_KY khi trả phòng</t>
  </si>
  <si>
    <t xml:space="preserve">ngayGhi</t>
  </si>
  <si>
    <t xml:space="preserve">Ngày ghi</t>
  </si>
  <si>
    <t xml:space="preserve">chiSoCu</t>
  </si>
  <si>
    <t xml:space="preserve">Chỉ số cũ</t>
  </si>
  <si>
    <t xml:space="preserve">INT</t>
  </si>
  <si>
    <t xml:space="preserve">≥ 0; = chiSoMoi của lần ghi trước cùng HĐ, cùng loại công tơ</t>
  </si>
  <si>
    <t xml:space="preserve">Tự lấy</t>
  </si>
  <si>
    <t xml:space="preserve">DAU_KY: chiSoCu = chiSoMoi</t>
  </si>
  <si>
    <t xml:space="preserve">chiSoMoi</t>
  </si>
  <si>
    <t xml:space="preserve">Chỉ số mới</t>
  </si>
  <si>
    <t xml:space="preserve">≥ chiSoCu</t>
  </si>
  <si>
    <t xml:space="preserve">Hệ thống chặn số mới nhỏ hơn số cũ (UC05.03). Không hỗ trợ công tơ quay vòng</t>
  </si>
  <si>
    <t xml:space="preserve">anhCongTo</t>
  </si>
  <si>
    <t xml:space="preserve">Ảnh công tơ</t>
  </si>
  <si>
    <t xml:space="preserve">Mã thông báo tiền</t>
  </si>
  <si>
    <t xml:space="preserve">TB + yyMM + maPhong [+ R + lần lập lại], vd TB2610P101, TB2610P101R1</t>
  </si>
  <si>
    <t xml:space="preserve">Chỉ chữ in hoa + số, không dấu, ≤ 20 ký tự, duy nhất</t>
  </si>
  <si>
    <t xml:space="preserve">Dùng làm nội dung chuyển khoản trên VietQR</t>
  </si>
  <si>
    <t xml:space="preserve">Mã quyết toán</t>
  </si>
  <si>
    <t xml:space="preserve">QuyetToan.maQuyetToan</t>
  </si>
  <si>
    <t xml:space="preserve">Chỉ có khi loaiThongBao = THU_THEM_QUYET_TOAN</t>
  </si>
  <si>
    <t xml:space="preserve">loaiThongBao</t>
  </si>
  <si>
    <t xml:space="preserve">Loại thông báo</t>
  </si>
  <si>
    <t xml:space="preserve">LoaiThongBao</t>
  </si>
  <si>
    <t xml:space="preserve">KY_HOP_DONG | HANG_THANG | THU_THEM_QUYET_TOAN</t>
  </si>
  <si>
    <t xml:space="preserve">Tháng T của điện, nước, dịch vụ. BR-HD-01: mỗi HĐ mỗi kỳ 1 thông báo HANG_THANG chưa hủy</t>
  </si>
  <si>
    <t xml:space="preserve">ngayPhatHanh</t>
  </si>
  <si>
    <t xml:space="preserve">Ngày phát hành</t>
  </si>
  <si>
    <t xml:space="preserve">NULL khi NHAP</t>
  </si>
  <si>
    <t xml:space="preserve">Hạn thanh toán</t>
  </si>
  <si>
    <t xml:space="preserve">≥ ngày lập</t>
  </si>
  <si>
    <t xml:space="preserve">Ngày ToaNha.hanThanhToan của tháng T+1</t>
  </si>
  <si>
    <t xml:space="preserve">KY_HOP_DONG: hạn = ngày ký</t>
  </si>
  <si>
    <t xml:space="preserve">noCu</t>
  </si>
  <si>
    <t xml:space="preserve">Nợ cũ</t>
  </si>
  <si>
    <t xml:space="preserve">Phần thiếu của thông báo trước tự chuyển sang (BR-TT-03)</t>
  </si>
  <si>
    <t xml:space="preserve">tongTien</t>
  </si>
  <si>
    <t xml:space="preserve">Tổng tiền</t>
  </si>
  <si>
    <t xml:space="preserve">#,##0 đ, bội số 1.000</t>
  </si>
  <si>
    <t xml:space="preserve">= Σ DongThongBaoTien.thanhTien + noCu, làm tròn đến 1.000 đ ở tổng (BR-HD-05)</t>
  </si>
  <si>
    <t xml:space="preserve">soDaThu</t>
  </si>
  <si>
    <t xml:space="preserve">Số đã thu</t>
  </si>
  <si>
    <t xml:space="preserve">≥ 0 (có thể &gt; tongTien nếu trả thừa)</t>
  </si>
  <si>
    <t xml:space="preserve">= Σ PhieuThu.soTien có trangThai HIEU_LUC</t>
  </si>
  <si>
    <t xml:space="preserve">NHAP | DA_PHAT_HANH | CHO_XAC_NHAN | DA_THU_MOT_PHAN | DA_THU_DU | QUA_HAN | DA_HUY</t>
  </si>
  <si>
    <t xml:space="preserve">NHAP</t>
  </si>
  <si>
    <t xml:space="preserve">Theo sơ đồ trạng thái Thông báo tiền (QuyTrinh v1.3); xem sheet 6_TrangThai</t>
  </si>
  <si>
    <t xml:space="preserve">lyDoHuy</t>
  </si>
  <si>
    <t xml:space="preserve">Lý do hủy</t>
  </si>
  <si>
    <t xml:space="preserve">Bắt buộc khi DA_HUY</t>
  </si>
  <si>
    <t xml:space="preserve">Mã dòng</t>
  </si>
  <si>
    <t xml:space="preserve">Tồn tại trong ThongBaoTien</t>
  </si>
  <si>
    <t xml:space="preserve">ThongBaoTien.maThongBaoTien</t>
  </si>
  <si>
    <t xml:space="preserve">ChiSo.maChiSo</t>
  </si>
  <si>
    <t xml:space="preserve">Bắt buộc với dòng DIEN và NUOC theo công tơ</t>
  </si>
  <si>
    <t xml:space="preserve">Mã sự cố</t>
  </si>
  <si>
    <t xml:space="preserve">SuCo.maSuCo</t>
  </si>
  <si>
    <t xml:space="preserve">Có khi phí phát sinh do khách gây sự cố (BR-SC-03)</t>
  </si>
  <si>
    <t xml:space="preserve">maThongBaoTienGoc</t>
  </si>
  <si>
    <t xml:space="preserve">Thông báo gốc được điều chỉnh</t>
  </si>
  <si>
    <t xml:space="preserve">Tồn tại trong ThongBaoTien, cùng HĐ, trạng thái DA_THU_DU hoặc DA_THU_MOT_PHAN</t>
  </si>
  <si>
    <t xml:space="preserve">Bắt buộc với dòng DIEU_CHINH (sửa sai thông báo đã thu – BR-HD-04, CN-05.02)</t>
  </si>
  <si>
    <t xml:space="preserve">LoaiKhoanTBT</t>
  </si>
  <si>
    <t xml:space="preserve">TIEN_PHONG | TIEN_COC | DIEN | NUOC | DICH_VU | PHI_PHAT_SINH | GIAM_TRU | DIEU_CHINH</t>
  </si>
  <si>
    <t xml:space="preserve">dienGiai</t>
  </si>
  <si>
    <t xml:space="preserve">Diễn giải</t>
  </si>
  <si>
    <t xml:space="preserve">vd 'Tiền phòng 01/11–30/11/2026'</t>
  </si>
  <si>
    <t xml:space="preserve">tuNgay</t>
  </si>
  <si>
    <t xml:space="preserve">Từ ngày</t>
  </si>
  <si>
    <t xml:space="preserve">Bắt buộc với TIEN_PHONG, DICH_VU, NUOC_THEO_NGUOI</t>
  </si>
  <si>
    <t xml:space="preserve">denNgay</t>
  </si>
  <si>
    <t xml:space="preserve">Đến ngày</t>
  </si>
  <si>
    <t xml:space="preserve">≥ tuNgay</t>
  </si>
  <si>
    <t xml:space="preserve">Tính cả ngày này</t>
  </si>
  <si>
    <t xml:space="preserve">DECIMAL(10,2)</t>
  </si>
  <si>
    <t xml:space="preserve">kWh / m3 / số người / số xe / 1</t>
  </si>
  <si>
    <t xml:space="preserve">Đơn giá</t>
  </si>
  <si>
    <t xml:space="preserve">Điện/nước lấy theo BangGia.layDonGiaTai(ngày lập) – BR-DM-01</t>
  </si>
  <si>
    <t xml:space="preserve">tyLeNgayO</t>
  </si>
  <si>
    <t xml:space="preserve">Tỷ lệ ngày ở</t>
  </si>
  <si>
    <t xml:space="preserve">DECIMAL(7,6)</t>
  </si>
  <si>
    <t xml:space="preserve">Số thập phân</t>
  </si>
  <si>
    <t xml:space="preserve">0 &lt; x ≤ 1</t>
  </si>
  <si>
    <t xml:space="preserve">= số ngày ở / số ngày của tháng dương lịch</t>
  </si>
  <si>
    <t xml:space="preserve">thanhTien</t>
  </si>
  <si>
    <t xml:space="preserve">Thành tiền</t>
  </si>
  <si>
    <t xml:space="preserve">DECIMAL(15,2)</t>
  </si>
  <si>
    <t xml:space="preserve">Âm với GIAM_TRU; DIEU_CHINH có thể âm/dương</t>
  </si>
  <si>
    <t xml:space="preserve">= soLuong × donGia × tyLeNgayO; KHÔNG làm tròn từng dòng (BR-HD-05)</t>
  </si>
  <si>
    <t xml:space="preserve">Mã báo thanh toán</t>
  </si>
  <si>
    <t xml:space="preserve">BTT + số</t>
  </si>
  <si>
    <t xml:space="preserve">TBT đang DA_PHAT_HANH/DA_THU_MOT_PHAN/QUA_HAN</t>
  </si>
  <si>
    <t xml:space="preserve">thoiDiemBao</t>
  </si>
  <si>
    <t xml:space="preserve">Thời điểm báo</t>
  </si>
  <si>
    <t xml:space="preserve">anhBienLai</t>
  </si>
  <si>
    <t xml:space="preserve">Ảnh biên lai</t>
  </si>
  <si>
    <t xml:space="preserve">Tùy chọn (P03 bước 2)</t>
  </si>
  <si>
    <t xml:space="preserve">CHO_XAC_NHAN | DA_XAC_NHAN | TU_CHOI</t>
  </si>
  <si>
    <t xml:space="preserve">CHO_XAC_NHAN</t>
  </si>
  <si>
    <t xml:space="preserve">lyDoTuChoi</t>
  </si>
  <si>
    <t xml:space="preserve">Lý do từ chối</t>
  </si>
  <si>
    <t xml:space="preserve">Bắt buộc khi TU_CHOI</t>
  </si>
  <si>
    <t xml:space="preserve">Số phiếu thu</t>
  </si>
  <si>
    <t xml:space="preserve">PT-yyyy-NNNNN</t>
  </si>
  <si>
    <t xml:space="preserve">Đánh số liên tục, không tái sử dụng</t>
  </si>
  <si>
    <t xml:space="preserve">BR-TT-02</t>
  </si>
  <si>
    <t xml:space="preserve">BaoThanhToan.maBaoTT</t>
  </si>
  <si>
    <t xml:space="preserve">NULL khi thu tiền mặt</t>
  </si>
  <si>
    <t xml:space="preserve">ngayThu</t>
  </si>
  <si>
    <t xml:space="preserve">Ngày thu</t>
  </si>
  <si>
    <t xml:space="preserve">≤ ngày hiện tại</t>
  </si>
  <si>
    <t xml:space="preserve">nguoiNop</t>
  </si>
  <si>
    <t xml:space="preserve">Người nộp</t>
  </si>
  <si>
    <t xml:space="preserve">= KhachThue.hoTen</t>
  </si>
  <si>
    <t xml:space="preserve">soTien</t>
  </si>
  <si>
    <t xml:space="preserve">Số tiền</t>
  </si>
  <si>
    <t xml:space="preserve">= số còn phải thu</t>
  </si>
  <si>
    <t xml:space="preserve">Số thực nhận do chủ nhà nhập</t>
  </si>
  <si>
    <t xml:space="preserve">hinhThuc</t>
  </si>
  <si>
    <t xml:space="preserve">Hình thức</t>
  </si>
  <si>
    <t xml:space="preserve">HinhThucTT</t>
  </si>
  <si>
    <t xml:space="preserve">CHUYEN_KHOAN | TIEN_MAT</t>
  </si>
  <si>
    <t xml:space="preserve">HIEU_LUC | DA_HUY</t>
  </si>
  <si>
    <t xml:space="preserve">HIEU_LUC</t>
  </si>
  <si>
    <t xml:space="preserve">Không xóa phiếu (BR-TT-02)</t>
  </si>
  <si>
    <t xml:space="preserve">QT + maHopDong</t>
  </si>
  <si>
    <t xml:space="preserve">Mỗi HĐ tối đa 1 quyết toán</t>
  </si>
  <si>
    <t xml:space="preserve">FK, UK</t>
  </si>
  <si>
    <t xml:space="preserve">ngayTra</t>
  </si>
  <si>
    <t xml:space="preserve">Ngày trả phòng</t>
  </si>
  <si>
    <t xml:space="preserve">≥ HopDong.ngayNhanPhong</t>
  </si>
  <si>
    <t xml:space="preserve">Ngày trả không tính tiền</t>
  </si>
  <si>
    <t xml:space="preserve">Tiền cọc</t>
  </si>
  <si>
    <t xml:space="preserve">= HopDong.tienCoc</t>
  </si>
  <si>
    <t xml:space="preserve">tienPhongHoanLai</t>
  </si>
  <si>
    <t xml:space="preserve">Tiền phòng hoàn lại</t>
  </si>
  <si>
    <t xml:space="preserve">Tiền phòng đã thu cho các ngày từ ngayTra trở đi</t>
  </si>
  <si>
    <t xml:space="preserve">tongKhauTru</t>
  </si>
  <si>
    <t xml:space="preserve">Tổng khấu trừ</t>
  </si>
  <si>
    <t xml:space="preserve">Tổng các dòng trừ (điện, nước, dịch vụ, nợ, bồi thường, phạt)</t>
  </si>
  <si>
    <t xml:space="preserve">soTienQuyetToan</t>
  </si>
  <si>
    <t xml:space="preserve">Số tiền quyết toán</t>
  </si>
  <si>
    <t xml:space="preserve">#,##0 đ; âm = khách phải trả thêm</t>
  </si>
  <si>
    <t xml:space="preserve">Có thể âm</t>
  </si>
  <si>
    <t xml:space="preserve">= tienCoc + tienPhongHoanLai − tongKhauTru. &gt;0 → phiếu chi; &lt;0 → thông báo thu thêm</t>
  </si>
  <si>
    <t xml:space="preserve">NHAP | CHO_PHAN_HOI | KHACH_KHONG_DONG_Y | DA_CHOT | HOAN_TAT</t>
  </si>
  <si>
    <t xml:space="preserve">Theo sơ đồ trạng thái Quyết toán cọc (QuyTrinh v1.3)</t>
  </si>
  <si>
    <t xml:space="preserve">lyDoDieuChinh</t>
  </si>
  <si>
    <t xml:space="preserve">Lý do điều chỉnh / chốt</t>
  </si>
  <si>
    <t xml:space="preserve">Bắt buộc khi chủ nhà điều chỉnh sau khi khách không đồng ý, hoặc chốt khi khách không đồng ý / không phản hồi (BR-TL-03)</t>
  </si>
  <si>
    <t xml:space="preserve">khachDongY</t>
  </si>
  <si>
    <t xml:space="preserve">Khách đồng ý</t>
  </si>
  <si>
    <t xml:space="preserve">NULL = chưa phản hồi</t>
  </si>
  <si>
    <t xml:space="preserve">Ghi khi khách phản hồi (UC04.11); reset NULL khi chủ nhà gửi lại</t>
  </si>
  <si>
    <t xml:space="preserve">yKienKhach</t>
  </si>
  <si>
    <t xml:space="preserve">Ý kiến của khách</t>
  </si>
  <si>
    <t xml:space="preserve">Bắt buộc khi khachDongY = false</t>
  </si>
  <si>
    <t xml:space="preserve">thoiDiemPhanHoi</t>
  </si>
  <si>
    <t xml:space="preserve">Thời điểm phản hồi</t>
  </si>
  <si>
    <t xml:space="preserve">Tồn tại trong QuyetToan</t>
  </si>
  <si>
    <t xml:space="preserve">LoaiKhoanQT</t>
  </si>
  <si>
    <t xml:space="preserve">Enum quyết định dòng là cộng (hoàn) hay trừ</t>
  </si>
  <si>
    <t xml:space="preserve">&gt; 0 (dấu do loaiKhoan quyết định)</t>
  </si>
  <si>
    <t xml:space="preserve">Bắt buộc với mọi khoản trừ (BR-TL-02)</t>
  </si>
  <si>
    <t xml:space="preserve">anhBangChung</t>
  </si>
  <si>
    <t xml:space="preserve">Ảnh bằng chứng</t>
  </si>
  <si>
    <t xml:space="preserve">Bắt buộc với mọi khoản trừ (BR-TL-02); dòng điện/nước có thể tự lấy ảnh công tơ của ChiSo CUOI_KY</t>
  </si>
  <si>
    <t xml:space="preserve">Số phiếu chi</t>
  </si>
  <si>
    <t xml:space="preserve">PC-yyyy-NNNNN</t>
  </si>
  <si>
    <t xml:space="preserve">Đánh số liên tục theo năm</t>
  </si>
  <si>
    <t xml:space="preserve">soTienQuyetToan &gt; 0</t>
  </si>
  <si>
    <t xml:space="preserve">ngayChi</t>
  </si>
  <si>
    <t xml:space="preserve">Ngày chi</t>
  </si>
  <si>
    <t xml:space="preserve">nguoiNhan</t>
  </si>
  <si>
    <t xml:space="preserve">Người nhận</t>
  </si>
  <si>
    <t xml:space="preserve">&gt; 0; = QuyetToan.soTienQuyetToan</t>
  </si>
  <si>
    <t xml:space="preserve">SC + số</t>
  </si>
  <si>
    <t xml:space="preserve">Phòng của tài khoản khách đang thuê</t>
  </si>
  <si>
    <t xml:space="preserve">BR-SC-01</t>
  </si>
  <si>
    <t xml:space="preserve">loaiSuCo</t>
  </si>
  <si>
    <t xml:space="preserve">Loại sự cố</t>
  </si>
  <si>
    <t xml:space="preserve">LoaiSuCo</t>
  </si>
  <si>
    <t xml:space="preserve">DIEN | NUOC | THIET_BI | INTERNET | KHAC</t>
  </si>
  <si>
    <t xml:space="preserve">moTa</t>
  </si>
  <si>
    <t xml:space="preserve">1–1.000 ký tự</t>
  </si>
  <si>
    <t xml:space="preserve">≤ 5 ảnh (giả định)</t>
  </si>
  <si>
    <t xml:space="preserve">ngayBao</t>
  </si>
  <si>
    <t xml:space="preserve">Khách chỉ thấy sự cố có ngayBao ≥ ngày nhận phòng của HĐ mình</t>
  </si>
  <si>
    <t xml:space="preserve">lichHen</t>
  </si>
  <si>
    <t xml:space="preserve">Lịch hẹn xử lý</t>
  </si>
  <si>
    <t xml:space="preserve">yyyy-MM-dd HH:mm</t>
  </si>
  <si>
    <t xml:space="preserve">≥ thời điểm tiếp nhận</t>
  </si>
  <si>
    <t xml:space="preserve">Bắt buộc khi chuyển DANG_XU_LY</t>
  </si>
  <si>
    <t xml:space="preserve">ketQua</t>
  </si>
  <si>
    <t xml:space="preserve">Kết quả xử lý</t>
  </si>
  <si>
    <t xml:space="preserve">≤ 1.000 ký tự</t>
  </si>
  <si>
    <t xml:space="preserve">Bắt buộc khi DA_XU_LY</t>
  </si>
  <si>
    <t xml:space="preserve">chiPhi</t>
  </si>
  <si>
    <t xml:space="preserve">Chi phí</t>
  </si>
  <si>
    <t xml:space="preserve">doKhachGay</t>
  </si>
  <si>
    <t xml:space="preserve">Do khách gây ra</t>
  </si>
  <si>
    <t xml:space="preserve">true → được cộng phí vào thông báo tiền (BR-SC-03)</t>
  </si>
  <si>
    <t xml:space="preserve">MOI | DANG_XU_LY | DA_XU_LY | TU_CHOI | MO_LAI</t>
  </si>
  <si>
    <t xml:space="preserve">MOI</t>
  </si>
  <si>
    <t xml:space="preserve">Bắt buộc khi TU_CHOI (BR-SC-02)</t>
  </si>
  <si>
    <t xml:space="preserve">Chỉ thêm</t>
  </si>
  <si>
    <t xml:space="preserve">Tồn tại trong SuCo</t>
  </si>
  <si>
    <t xml:space="preserve">trangThaiCu</t>
  </si>
  <si>
    <t xml:space="preserve">Trạng thái cũ</t>
  </si>
  <si>
    <t xml:space="preserve">NULL ở lần tạo sự cố</t>
  </si>
  <si>
    <t xml:space="preserve">trangThaiMoi</t>
  </si>
  <si>
    <t xml:space="preserve">Trạng thái mới</t>
  </si>
  <si>
    <t xml:space="preserve">vaiTroThucHien</t>
  </si>
  <si>
    <t xml:space="preserve">Vai trò thực hiện</t>
  </si>
  <si>
    <t xml:space="preserve">Lịch hẹn, kết quả, lý do… hiển thị cho cả 2 bên</t>
  </si>
  <si>
    <t xml:space="preserve">3. PHƯƠNG THỨC CỦA TỪNG THỰC THỂ</t>
  </si>
  <si>
    <t xml:space="preserve">Chỉ liệt kê phương thức nghiệp vụ; CRUD cơ bản ngầm hiểu theo 8_PhanQuyen. Dòng nền vàng = đề xuất bổ sung.</t>
  </si>
  <si>
    <t xml:space="preserve">Tên phương thức</t>
  </si>
  <si>
    <t xml:space="preserve">Tham số</t>
  </si>
  <si>
    <t xml:space="preserve">Kiểu trả về</t>
  </si>
  <si>
    <t xml:space="preserve">Tiền điều kiện / Kiểm tra</t>
  </si>
  <si>
    <t xml:space="preserve">Kết quả / Hậu điều kiện</t>
  </si>
  <si>
    <t xml:space="preserve">Quy tắc NV</t>
  </si>
  <si>
    <t xml:space="preserve">Use case</t>
  </si>
  <si>
    <t xml:space="preserve">Tác nhân</t>
  </si>
  <si>
    <t xml:space="preserve">capNhatThongTin</t>
  </si>
  <si>
    <t xml:space="preserve">tenToa, diaChi, noiQuy, ngayChotChiSo, hanThanhToan</t>
  </si>
  <si>
    <t xml:space="preserve">void</t>
  </si>
  <si>
    <t xml:space="preserve">Cập nhật thông tin chung của tòa.</t>
  </si>
  <si>
    <t xml:space="preserve">ngayChotChiSo 1–31; hanThanhToan 1–28; tên, địa chỉ không rỗng.</t>
  </si>
  <si>
    <t xml:space="preserve">Lưu thông tin; ngày chốt/hạn mới áp dụng từ kỳ lập thông báo kế tiếp, không tính lại thông báo đã phát hành.</t>
  </si>
  <si>
    <t xml:space="preserve">UC01.05</t>
  </si>
  <si>
    <t xml:space="preserve">Chủ nhà</t>
  </si>
  <si>
    <t xml:space="preserve">capNhatTaiKhoanNhanTien</t>
  </si>
  <si>
    <t xml:space="preserve">nganHang, soTaiKhoan, chuTaiKhoan, tenChuNha, sdtChuNha, diaChiChuNha</t>
  </si>
  <si>
    <t xml:space="preserve">Khai báo tài khoản nhận tiền và thông tin in trên phiếu thu (tên, địa chỉ, SĐT chủ nhà); tên và SĐT chủ nhà cũng hiện ở Trang chủ của khách (KT-01.01).</t>
  </si>
  <si>
    <t xml:space="preserve">nganHang là mã BIN 6 số; soTaiKhoan chỉ chữ số; sdtChuNha ^0\d{9}$.</t>
  </si>
  <si>
    <t xml:space="preserve">Lưu; ghi NhatKyThaoTac. Mã VietQR của các thông báo chưa thu sinh theo tài khoản mới.</t>
  </si>
  <si>
    <t xml:space="preserve">BR-TT-01</t>
  </si>
  <si>
    <t xml:space="preserve">UC01.06</t>
  </si>
  <si>
    <t xml:space="preserve">taoMaVietQR</t>
  </si>
  <si>
    <t xml:space="preserve">soTien: decimal, noiDung: String</t>
  </si>
  <si>
    <t xml:space="preserve">Sinh mã VietQR (chuẩn NAPAS/EMVCo) với số tài khoản chủ nhà, số tiền và nội dung chuyển khoản.</t>
  </si>
  <si>
    <t xml:space="preserve">soTien &gt; 0; noiDung chỉ chữ + số, ≤ 25 ký tự.</t>
  </si>
  <si>
    <t xml:space="preserve">Trả về payload QR (hoặc URL ảnh QR). Cách làm: tự sinh payload EMVCo + CRC16, hoặc dùng dịch vụ ảnh VietQR công khai (img.vietqr.io).</t>
  </si>
  <si>
    <t xml:space="preserve">UC05.07</t>
  </si>
  <si>
    <t xml:space="preserve">Hệ thống</t>
  </si>
  <si>
    <t xml:space="preserve">capNhatGiaNiemYet</t>
  </si>
  <si>
    <t xml:space="preserve">gia: decimal</t>
  </si>
  <si>
    <t xml:space="preserve">Đổi giá niêm yết của phòng.</t>
  </si>
  <si>
    <t xml:space="preserve">gia &gt; 0.</t>
  </si>
  <si>
    <t xml:space="preserve">Lưu giá mới; KHÔNG đổi HopDong.giaThue của HĐ đang hiệu lực.</t>
  </si>
  <si>
    <t xml:space="preserve">BR-DM-02</t>
  </si>
  <si>
    <t xml:space="preserve">UC02.01</t>
  </si>
  <si>
    <t xml:space="preserve">chuyenTrangThai</t>
  </si>
  <si>
    <t xml:space="preserve">trangThai: TrangThaiPhong</t>
  </si>
  <si>
    <t xml:space="preserve">Chuyển trạng thái phòng.</t>
  </si>
  <si>
    <t xml:space="preserve">Chủ nhà chỉ được TRONG ↔ NGUNG_KHAI_THAC; TRONG ↔ DANG_THUE chỉ do hệ thống (nhận phòng/thanh lý). Không chuyển NGUNG_KHAI_THAC khi phòng có HĐ chưa thanh lý.</t>
  </si>
  <si>
    <t xml:space="preserve">Cập nhật trangThai.</t>
  </si>
  <si>
    <t xml:space="preserve">BR-DM-04</t>
  </si>
  <si>
    <t xml:space="preserve">Chủ nhà, Hệ thống</t>
  </si>
  <si>
    <t xml:space="preserve">layHopDongHieuLuc</t>
  </si>
  <si>
    <t xml:space="preserve">HopDong | null</t>
  </si>
  <si>
    <t xml:space="preserve">Lấy HĐ hiện hành của phòng.</t>
  </si>
  <si>
    <t xml:space="preserve">HĐ có trangThai HIEU_LUC (hoặc CHO_NHAN_PHONG); tối đa 1.</t>
  </si>
  <si>
    <t xml:space="preserve">BR-CT-03</t>
  </si>
  <si>
    <t xml:space="preserve">kiemTraSoNguoi</t>
  </si>
  <si>
    <t xml:space="preserve">soNguoi: int</t>
  </si>
  <si>
    <t xml:space="preserve">Kiểm tra tổng số người ở.</t>
  </si>
  <si>
    <t xml:space="preserve">soNguoi = 1 (người đứng tên) + số NguoiO đang ở.</t>
  </si>
  <si>
    <t xml:space="preserve">true nếu soNguoi ≤ soNguoiToiDa.</t>
  </si>
  <si>
    <t xml:space="preserve">coTheXoa</t>
  </si>
  <si>
    <t xml:space="preserve">Kiểm tra được phép xóa phòng.</t>
  </si>
  <si>
    <t xml:space="preserve">true chỉ khi phòng chưa từng có HĐ; ngược lại chỉ cho chuyển NGUNG_KHAI_THAC.</t>
  </si>
  <si>
    <t xml:space="preserve">BR-DM-03</t>
  </si>
  <si>
    <t xml:space="preserve">xoa</t>
  </si>
  <si>
    <t xml:space="preserve">Xóa phòng chưa từng có hợp đồng (CN-02.01).</t>
  </si>
  <si>
    <t xml:space="preserve">Chỉ CHU_NHA; coTheXoa() = true.</t>
  </si>
  <si>
    <t xml:space="preserve">Xóa Phong và TaiSan của phòng; ghi NhatKyThaoTac (HUY, doiTuong = Phong).</t>
  </si>
  <si>
    <t xml:space="preserve">laSapTra</t>
  </si>
  <si>
    <t xml:space="preserve">Xác định nhãn 'Sắp trả' trên sơ đồ tòa.</t>
  </si>
  <si>
    <t xml:space="preserve">true khi HĐ hiệu lực có ngayBaoTra ≠ null và ngayTraThucTe = null; hiển thị kèm ngayTraDuKien.</t>
  </si>
  <si>
    <t xml:space="preserve">UC02.05, UC08.06</t>
  </si>
  <si>
    <t xml:space="preserve">capNhatTinhTrang</t>
  </si>
  <si>
    <t xml:space="preserve">tinhTrang: String</t>
  </si>
  <si>
    <t xml:space="preserve">Cập nhật tình trạng hiện tại của tài sản.</t>
  </si>
  <si>
    <t xml:space="preserve">tinhTrang không rỗng.</t>
  </si>
  <si>
    <t xml:space="preserve">Lưu; thường gọi sau bàn giao nhận/trả phòng.</t>
  </si>
  <si>
    <t xml:space="preserve">layDonGiaTai</t>
  </si>
  <si>
    <t xml:space="preserve">loaiKhoan, ngay: Date</t>
  </si>
  <si>
    <t xml:space="preserve">Tra đơn giá hiệu lực tại một ngày.</t>
  </si>
  <si>
    <t xml:space="preserve">Bản ghi có ngayApDung ≤ ngay và (ngayHetHieuLuc null hoặc ≥ ngay). Khi lập thông báo, ngay = ngày lập thông báo (giá mới áp cho thông báo lập sau thời điểm đổi).</t>
  </si>
  <si>
    <t xml:space="preserve">UC05.04</t>
  </si>
  <si>
    <t xml:space="preserve">doiDonGia</t>
  </si>
  <si>
    <t xml:space="preserve">giaMoi: decimal, ngayApDung: Date</t>
  </si>
  <si>
    <t xml:space="preserve">Đổi đơn giá điện, nước hoặc phí dịch vụ.</t>
  </si>
  <si>
    <t xml:space="preserve">giaMoi ≥ 0; ngayApDung &gt; ngayApDung của bản ghi hiện hành.</t>
  </si>
  <si>
    <t xml:space="preserve">Đóng bản ghi cũ (ngayHetHieuLuc = ngayApDung − 1 ngày), tạo bản ghi mới; thông báo đã phát hành không tính lại; ghi NhatKyThaoTac.</t>
  </si>
  <si>
    <t xml:space="preserve">UC02.03, UC02.04</t>
  </si>
  <si>
    <t xml:space="preserve">taoTaiKhoanKhach</t>
  </si>
  <si>
    <t xml:space="preserve">hopDong: HopDong, nguoiO?: NguoiO</t>
  </si>
  <si>
    <t xml:space="preserve">TaiKhoan, String (mật khẩu tạm)</t>
  </si>
  <si>
    <t xml:space="preserve">Phương thức tạo (static/factory): tạo tài khoản cho người được cấp của HĐ – người đứng tên (mặc định) hoặc một người ở cùng (vd sinh viên khi phụ huynh đứng tên).</t>
  </si>
  <si>
    <t xml:space="preserve">HĐ CHO_NHAN_PHONG (gọi từ xacNhanNhanPhong) hoặc HĐ HIEU_LUC chưa có maTaiKhoan (CN-09.03, CN-09.04); nguoiO (nếu có) thuộc HĐ và có soDienThoai hợp lệ. SĐT đã có tài khoản (khách thuê lại) → mở khóa + đặt lại mật khẩu thay vì tạo mới.</t>
  </si>
  <si>
    <t xml:space="preserve">tenDangNhap = SĐT người được cấp; vaiTro = KHACH_THUE, phaiDoiMatKhau = true; gán HopDong.maTaiKhoan và HopDong.maNguoiOCapTK (NULL nếu cấp cho người đứng tên); ghi NhatKyThaoTac (TAO); trả mật khẩu tạm hiển thị 1 lần cho chủ nhà.</t>
  </si>
  <si>
    <t xml:space="preserve">UC01.03, UC03.07, UC01.08</t>
  </si>
  <si>
    <t xml:space="preserve">dangNhap</t>
  </si>
  <si>
    <t xml:space="preserve">sdt: String, matKhau: String</t>
  </si>
  <si>
    <t xml:space="preserve">Xác thực đăng nhập bằng SĐT + mật khẩu.</t>
  </si>
  <si>
    <t xml:space="preserve">Từ chối nếu trangThai = DA_KHOA, hoặc KHOA_TAM và chưa hết khoaDenLuc.</t>
  </si>
  <si>
    <t xml:space="preserve">Sai → soLanSai + 1; đủ 5 → KHOA_TAM. Đúng → soLanSai = 0; nếu phaiDoiMatKhau = true → chuyển màn hình đổi mật khẩu.</t>
  </si>
  <si>
    <t xml:space="preserve">UC01.01</t>
  </si>
  <si>
    <t xml:space="preserve">Chủ nhà, Khách thuê</t>
  </si>
  <si>
    <t xml:space="preserve">doiMatKhau</t>
  </si>
  <si>
    <t xml:space="preserve">cu: String, moi: String</t>
  </si>
  <si>
    <t xml:space="preserve">Người dùng tự đổi mật khẩu.</t>
  </si>
  <si>
    <t xml:space="preserve">cu khớp hash; moi ≥ 8 ký tự và khác cu.</t>
  </si>
  <si>
    <t xml:space="preserve">Lưu hash mới; phaiDoiMatKhau = false.</t>
  </si>
  <si>
    <t xml:space="preserve">UC01.02</t>
  </si>
  <si>
    <t xml:space="preserve">datLaiMatKhau</t>
  </si>
  <si>
    <t xml:space="preserve">Chủ nhà đặt lại mật khẩu cho khách.</t>
  </si>
  <si>
    <t xml:space="preserve">Chỉ CHU_NHA gọi, áp dụng cho tài khoản KHACH_THUE. Chủ nhà quên mật khẩu → người cài đặt dùng script, không qua giao diện.</t>
  </si>
  <si>
    <t xml:space="preserve">Sinh mật khẩu tạm 8 ký tự; phaiDoiMatKhau = true; soLanSai = 0; KHOA_TAM → HOAT_DONG. Trả mật khẩu tạm.</t>
  </si>
  <si>
    <t xml:space="preserve">UC01.04</t>
  </si>
  <si>
    <t xml:space="preserve">khoa</t>
  </si>
  <si>
    <t xml:space="preserve">Khóa tài khoản khách.</t>
  </si>
  <si>
    <t xml:space="preserve">Không khóa tài khoản CHU_NHA.</t>
  </si>
  <si>
    <t xml:space="preserve">trangThai = DA_KHOA. Gọi tự động khi thanh lý HĐ (P05 bước 5).</t>
  </si>
  <si>
    <t xml:space="preserve">UC01.03, UC04.09</t>
  </si>
  <si>
    <t xml:space="preserve">moKhoa</t>
  </si>
  <si>
    <t xml:space="preserve">Mở khóa tài khoản.</t>
  </si>
  <si>
    <t xml:space="preserve">trangThai ≠ HOAT_DONG.</t>
  </si>
  <si>
    <t xml:space="preserve">trangThai = HOAT_DONG; soLanSai = 0.</t>
  </si>
  <si>
    <t xml:space="preserve">UC01.03</t>
  </si>
  <si>
    <t xml:space="preserve">ghiNhan</t>
  </si>
  <si>
    <t xml:space="preserve">taiKhoan, doiTuong, hanhDong, noiDung</t>
  </si>
  <si>
    <t xml:space="preserve">Ghi nhật ký thao tác (chỉ thêm, không sửa/xóa).</t>
  </si>
  <si>
    <t xml:space="preserve">Bắt buộc gọi khi tạo/sửa/hủy HopDong, ThongBaoTien, PhieuThu, ChiSo và mỗi lần xuất danh sách tạm trú.</t>
  </si>
  <si>
    <t xml:space="preserve">Thêm 1 bản ghi NhatKyThaoTac.</t>
  </si>
  <si>
    <t xml:space="preserve">traCuu</t>
  </si>
  <si>
    <t xml:space="preserve">tuNgay: Date, denNgay: Date, doiTuong?: String, maTaiKhoan?: String</t>
  </si>
  <si>
    <t xml:space="preserve">List&lt;NhatKyThaoTac&gt;</t>
  </si>
  <si>
    <t xml:space="preserve">Tra cứu nhật ký theo khoảng ngày; lọc thêm theo đối tượng và người thực hiện (tùy chọn).</t>
  </si>
  <si>
    <t xml:space="preserve">Chỉ CHU_NHA; tuNgay ≤ denNgay.</t>
  </si>
  <si>
    <t xml:space="preserve">Danh sách sắp xếp thời điểm giảm dần. Chỉ đọc: không có phương thức sửa / xóa nhật ký.</t>
  </si>
  <si>
    <t xml:space="preserve">guiDen</t>
  </si>
  <si>
    <t xml:space="preserve">dsTaiKhoan: List&lt;TaiKhoan&gt;</t>
  </si>
  <si>
    <t xml:space="preserve">Gửi thông báo đến danh sách tài khoản.</t>
  </si>
  <si>
    <t xml:space="preserve">dsTaiKhoan không rỗng.</t>
  </si>
  <si>
    <t xml:space="preserve">Tạo ThongBaoNguoiNhan (daDoc = false) cho từng tài khoản.</t>
  </si>
  <si>
    <t xml:space="preserve">UC08.03</t>
  </si>
  <si>
    <t xml:space="preserve">guiToanBoKhach</t>
  </si>
  <si>
    <t xml:space="preserve">Gửi thông báo chung cho cả tòa (cắt điện, bảo trì, nội quy).</t>
  </si>
  <si>
    <t xml:space="preserve">Chỉ CHU_NHA; tieuDe, noiDung không rỗng.</t>
  </si>
  <si>
    <t xml:space="preserve">phamVi = TOAN_TOA; gửi đến mọi tài khoản KHACH_THUE đang HOAT_DONG.</t>
  </si>
  <si>
    <t xml:space="preserve">UC08.01</t>
  </si>
  <si>
    <t xml:space="preserve">danhDauDaDoc</t>
  </si>
  <si>
    <t xml:space="preserve">Đánh dấu đã đọc.</t>
  </si>
  <si>
    <t xml:space="preserve">Chỉ chủ của tài khoản nhận.</t>
  </si>
  <si>
    <t xml:space="preserve">daDoc = true; thoiDiemDoc = now().</t>
  </si>
  <si>
    <t xml:space="preserve">demChuaDoc</t>
  </si>
  <si>
    <t xml:space="preserve">maTaiKhoan: String</t>
  </si>
  <si>
    <t xml:space="preserve">Đếm số thông báo chưa đọc (số trên biểu tượng chuông).</t>
  </si>
  <si>
    <t xml:space="preserve">COUNT daDoc = false.</t>
  </si>
  <si>
    <t xml:space="preserve">timTheoSDT</t>
  </si>
  <si>
    <t xml:space="preserve">sdt: String</t>
  </si>
  <si>
    <t xml:space="preserve">KhachThue | null</t>
  </si>
  <si>
    <t xml:space="preserve">Tìm hồ sơ cũ khi khách thuê lại.</t>
  </si>
  <si>
    <t xml:space="preserve">Trả hồ sơ nếu SĐT đã có.</t>
  </si>
  <si>
    <t xml:space="preserve">UC03.01</t>
  </si>
  <si>
    <t xml:space="preserve">capNhatHoSo</t>
  </si>
  <si>
    <t xml:space="preserve">hoTen, ngaySinh, soCCCD, anhCCCD, queQuan, noiLamViec</t>
  </si>
  <si>
    <t xml:space="preserve">Tạo / cập nhật hồ sơ khách.</t>
  </si>
  <si>
    <t xml:space="preserve">SĐT duy nhất; CCCD 12 số; ảnh CCCD lưu thư mục không công khai.</t>
  </si>
  <si>
    <t xml:space="preserve">Lưu hồ sơ; hồ sơ giữ lại sau khi trả phòng.</t>
  </si>
  <si>
    <t xml:space="preserve">layLichSuThue</t>
  </si>
  <si>
    <t xml:space="preserve">List&lt;HopDong&gt;</t>
  </si>
  <si>
    <t xml:space="preserve">Danh sách các HĐ khách đã đứng tên.</t>
  </si>
  <si>
    <t xml:space="preserve">Sắp xếp ngayBatDau giảm dần.</t>
  </si>
  <si>
    <t xml:space="preserve">taoMoi</t>
  </si>
  <si>
    <t xml:space="preserve">maPhong, maKhach, ngayBatDau, ngayHetHan, giaThue, tienCoc, dsDichVu, mucPhatTraTruoc, anhHopDong</t>
  </si>
  <si>
    <t xml:space="preserve">Lưu hợp đồng giấy lên hệ thống.</t>
  </si>
  <si>
    <t xml:space="preserve">Phòng TRONG; phòng chưa có HĐ CHO_NHAN_PHONG/HIEU_LUC; kiemTraThoiHan() = true; số người hợp lệ.</t>
  </si>
  <si>
    <t xml:space="preserve">trangThai = CHO_NHAN_PHONG; tạo HopDongDichVu; gọi lapThongBaoKyHopDong(); ghi NhatKyThaoTac.</t>
  </si>
  <si>
    <t xml:space="preserve">BR-CT-02, BR-CT-03, BR-CT-04</t>
  </si>
  <si>
    <t xml:space="preserve">UC03.03</t>
  </si>
  <si>
    <t xml:space="preserve">inMauHopDong</t>
  </si>
  <si>
    <t xml:space="preserve">File (.docx/.pdf)</t>
  </si>
  <si>
    <t xml:space="preserve">In mẫu hợp đồng điền sẵn để ký giấy.</t>
  </si>
  <si>
    <t xml:space="preserve">File mẫu cài sẵn khi bàn giao phần mềm (không lưu trong CSDL).</t>
  </si>
  <si>
    <t xml:space="preserve">File điền sẵn thông tin tòa, phòng, khách, giá thuê, cọc, thời hạn.</t>
  </si>
  <si>
    <t xml:space="preserve">UC03.04</t>
  </si>
  <si>
    <t xml:space="preserve">kiemTraThoiHan</t>
  </si>
  <si>
    <t xml:space="preserve">Kiểm tra thời hạn tối thiểu 3 tháng.</t>
  </si>
  <si>
    <t xml:space="preserve">true khi ngayHetHan ≥ ngayBatDau + 3 tháng − 1 ngày; false → chặn lưu.</t>
  </si>
  <si>
    <t xml:space="preserve">BR-CT-02</t>
  </si>
  <si>
    <t xml:space="preserve">lapThongBaoKyHopDong</t>
  </si>
  <si>
    <t xml:space="preserve">Lập thông báo tiền khi ký: cọc + tiền phòng từ ngày vào đến hết tháng.</t>
  </si>
  <si>
    <t xml:space="preserve">trangThai = CHO_NHAN_PHONG.</t>
  </si>
  <si>
    <t xml:space="preserve">ThongBaoTien loai KY_HOP_DONG gồm dòng TIEN_COC và TIEN_PHONG (tinhTienPhong(ngayBatDau, cuối tháng)); phát hành ngay.</t>
  </si>
  <si>
    <t xml:space="preserve">UC03.05</t>
  </si>
  <si>
    <t xml:space="preserve">xacNhanNhanPhong</t>
  </si>
  <si>
    <t xml:space="preserve">lyDo: String, nguoiO?: NguoiO</t>
  </si>
  <si>
    <t xml:space="preserve">Xác nhận bàn giao và nhận phòng.</t>
  </si>
  <si>
    <t xml:space="preserve">trangThai = CHO_NHAN_PHONG; có ChiSo DAU_KY điện (và nước nếu có công tơ); có BanGiaoTaiSan NHAN_PHONG; thông báo KY_HOP_DONG = DA_THU_DU, nếu chưa thì bắt buộc lyDo.</t>
  </si>
  <si>
    <t xml:space="preserve">trangThai = HIEU_LUC; lưu lyDoNhanPhongChuaThuDu (nếu có); ngayNhanPhong = hôm nay; Phong → DANG_THUE; gọi TaiKhoan.taoTaiKhoanKhach(this, nguoiO) – nguoiO là người được cấp tài khoản chủ nhà chọn trên CN-03.03; ghi NhatKyThaoTac.</t>
  </si>
  <si>
    <t xml:space="preserve">BR-CT-05, BR-DM-04</t>
  </si>
  <si>
    <t xml:space="preserve">UC03.06</t>
  </si>
  <si>
    <t xml:space="preserve">themNguoiO</t>
  </si>
  <si>
    <t xml:space="preserve">nguoiO: NguoiO</t>
  </si>
  <si>
    <t xml:space="preserve">Khai báo thêm người ở cùng.</t>
  </si>
  <si>
    <t xml:space="preserve">Phong.kiemTraSoNguoi(demSoNguoiO() + 1) = true.</t>
  </si>
  <si>
    <t xml:space="preserve">Thêm NguoiO; nếu HĐ đã hiệu lực ghi LichSuHopDong (THEM_NGUOI_O).</t>
  </si>
  <si>
    <t xml:space="preserve">demSoNguoiO</t>
  </si>
  <si>
    <t xml:space="preserve">Đếm số người đang ở.</t>
  </si>
  <si>
    <t xml:space="preserve">1 (người đứng tên) + số NguoiO có ngayRa = null.</t>
  </si>
  <si>
    <t xml:space="preserve">giaHan</t>
  </si>
  <si>
    <t xml:space="preserve">ngayHetHanMoi: Date, giaMoi: decimal, anhPhuLuc</t>
  </si>
  <si>
    <t xml:space="preserve">Gia hạn hợp đồng theo phụ lục giấy.</t>
  </si>
  <si>
    <t xml:space="preserve">trangThai = HIEU_LUC; chưa báo trả; ngayHetHanMoi ≥ ngayHetHan + 3 tháng; có ảnh phụ lục.</t>
  </si>
  <si>
    <t xml:space="preserve">Cập nhật ngayHetHan (và giaThue nếu đổi); ghi LichSuHopDong GIA_HAN (+ DIEU_CHINH_GIA) với ngayApDung = ngayHetHan cũ + 1.</t>
  </si>
  <si>
    <t xml:space="preserve">dieuChinhGia</t>
  </si>
  <si>
    <t xml:space="preserve">giaMoi: decimal, ngayApDung: Date, anhPhuLuc</t>
  </si>
  <si>
    <t xml:space="preserve">Điều chỉnh giá thuê trong thời hạn HĐ.</t>
  </si>
  <si>
    <t xml:space="preserve">trangThai = HIEU_LUC; ngayApDung là ngày 1 của tháng; giaMoi &gt; 0.</t>
  </si>
  <si>
    <t xml:space="preserve">Cập nhật giaThue; ghi LichSuHopDong DIEU_CHINH_GIA.</t>
  </si>
  <si>
    <t xml:space="preserve">baoTraPhong</t>
  </si>
  <si>
    <t xml:space="preserve">ngayTraDuKien: Date, loaiKetThuc</t>
  </si>
  <si>
    <t xml:space="preserve">Khách báo trả, hoặc chủ nhà nhập khi HĐ hết hạn / chấm dứt do vi phạm.</t>
  </si>
  <si>
    <t xml:space="preserve">trangThai = HIEU_LUC; ngayTraDuKien ≥ hôm nay và ≤ ngayHetHan + 1.</t>
  </si>
  <si>
    <t xml:space="preserve">ngayBaoTra = hôm nay; lưu ngayTraDuKien, loaiKetThuc; cảnh báo nếu trả trước hạn (sẽ áp mucPhatTraTruoc); gửi ThongBao KHACH_BAO_TRA cho chủ nhà; phòng hiện nhãn Sắp trả.</t>
  </si>
  <si>
    <t xml:space="preserve">UC04.03</t>
  </si>
  <si>
    <t xml:space="preserve">Khách thuê, Chủ nhà</t>
  </si>
  <si>
    <t xml:space="preserve">xacNhanThuHoiChiaKhoa</t>
  </si>
  <si>
    <t xml:space="preserve">Chủ nhà xác nhận đã thu hồi chìa khóa khi kiểm tra phòng trả (CN-04.01).</t>
  </si>
  <si>
    <t xml:space="preserve">trangThai = HIEU_LUC; ngayBaoTra ≠ null.</t>
  </si>
  <si>
    <t xml:space="preserve">daThuHoiChiaKhoa = true; ghi NhatKyThaoTac.</t>
  </si>
  <si>
    <t xml:space="preserve">UC04.04</t>
  </si>
  <si>
    <t xml:space="preserve">tinhTienPhong</t>
  </si>
  <si>
    <t xml:space="preserve">tuNgay: Date, denNgay: Date</t>
  </si>
  <si>
    <t xml:space="preserve">Tính tiền phòng cho một khoảng ngày.</t>
  </si>
  <si>
    <t xml:space="preserve">Chỉ tính các ngày nằm trong [ngayBatDau, ngayHetHan] (BR-HD-03).</t>
  </si>
  <si>
    <t xml:space="preserve">Cộng theo từng tháng dương lịch: giá áp dụng (theo LichSuHopDong.ngayApDung) × số ngày ở trong tháng / số ngày của tháng. Ngày nhận tính, ngày trả không tính. Vd 16–31/10: 3.000.000 × 16/31 = 1.548.387,10.</t>
  </si>
  <si>
    <t xml:space="preserve">BR-HD-03</t>
  </si>
  <si>
    <t xml:space="preserve">UC03.05, UC05.04</t>
  </si>
  <si>
    <t xml:space="preserve">thanhLy</t>
  </si>
  <si>
    <t xml:space="preserve">Chủ nhà xác nhận thanh lý hợp đồng sau quyết toán; hệ thống cập nhật.</t>
  </si>
  <si>
    <t xml:space="preserve">QuyetToan = HOAN_TAT (đã lập phiếu chi hoặc thông báo thu thêm). daThuHoiChiaKhoa = false → cảnh báo, chủ nhà xác nhận vẫn thanh lý.</t>
  </si>
  <si>
    <t xml:space="preserve">trangThai = DA_THANH_LY; ngayTraThucTe; Phong → TRONG; TaiKhoan.khoa(); NguoiO.ngayRa = ngày trả; hồ sơ giữ lại.</t>
  </si>
  <si>
    <t xml:space="preserve">UC04.09</t>
  </si>
  <si>
    <t xml:space="preserve">xuatDanhSachTamTru</t>
  </si>
  <si>
    <t xml:space="preserve">File (.xlsx)</t>
  </si>
  <si>
    <t xml:space="preserve">Xuất danh sách người ở mới để chủ nhà tự khai báo tạm trú.</t>
  </si>
  <si>
    <t xml:space="preserve">Chỉ CHU_NHA.</t>
  </si>
  <si>
    <t xml:space="preserve">File Excel: người đứng tên + người ở cùng (họ tên, ngày sinh, CCCD, quê quán, ngày vào). Ghi NhatKyThaoTac (XUAT_FILE).</t>
  </si>
  <si>
    <t xml:space="preserve">UC03.08</t>
  </si>
  <si>
    <t xml:space="preserve">hoTen, soCCCD, soDienThoai</t>
  </si>
  <si>
    <t xml:space="preserve">Sửa thông tin người ở cùng.</t>
  </si>
  <si>
    <t xml:space="preserve">Lưu.</t>
  </si>
  <si>
    <t xml:space="preserve">roiDi</t>
  </si>
  <si>
    <t xml:space="preserve">ngayRa: Date</t>
  </si>
  <si>
    <t xml:space="preserve">Ghi nhận người ở cùng rời đi.</t>
  </si>
  <si>
    <t xml:space="preserve">ngayRa ≥ ngayVao.</t>
  </si>
  <si>
    <t xml:space="preserve">Lưu ngayRa; ghi LichSuHopDong BOT_NGUOI_O.</t>
  </si>
  <si>
    <t xml:space="preserve">tinhPhi</t>
  </si>
  <si>
    <t xml:space="preserve">tyLeNgayO: decimal</t>
  </si>
  <si>
    <t xml:space="preserve">Tính phí dịch vụ cố định cho 1 tháng.</t>
  </si>
  <si>
    <t xml:space="preserve">0 &lt; tyLeNgayO ≤ 1.</t>
  </si>
  <si>
    <t xml:space="preserve">mucPhi × soLuong × tyLeNgayO (vd internet 100.000 × 16/31 = 51.612,90).</t>
  </si>
  <si>
    <t xml:space="preserve">ghiNhanTinhTrang</t>
  </si>
  <si>
    <t xml:space="preserve">tinhTrang: String, anh</t>
  </si>
  <si>
    <t xml:space="preserve">Ghi tình trạng tài sản khi nhận/trả phòng.</t>
  </si>
  <si>
    <t xml:space="preserve">Lưu; cập nhật TaiSan.tinhTrang.</t>
  </si>
  <si>
    <t xml:space="preserve">UC03.06, UC04.04</t>
  </si>
  <si>
    <t xml:space="preserve">soSanhLucNhanPhong</t>
  </si>
  <si>
    <t xml:space="preserve">So sánh tình trạng lúc trả với lúc nhận.</t>
  </si>
  <si>
    <t xml:space="preserve">loaiBanGiao = TRA_PHONG.</t>
  </si>
  <si>
    <t xml:space="preserve">Chuỗi mô tả khác biệt so với bản ghi NHAN_PHONG cùng HĐ, cùng tài sản.</t>
  </si>
  <si>
    <t xml:space="preserve">tinhChiPhiHuHong</t>
  </si>
  <si>
    <t xml:space="preserve">Lấy chi phí hư hỏng của bản ghi trả phòng.</t>
  </si>
  <si>
    <t xml:space="preserve">chiPhiHuHong; QuyetToan cộng các bản ghi thành dòng BOI_THUONG_HU_HONG.</t>
  </si>
  <si>
    <t xml:space="preserve">hopDong, truong, cu, moi</t>
  </si>
  <si>
    <t xml:space="preserve">Ghi lịch sử thay đổi HĐ (chỉ thêm).</t>
  </si>
  <si>
    <t xml:space="preserve">Thêm 1 bản ghi với ngayThayDoi, loaiThayDoi, ngayApDung, anhPhuLuc.</t>
  </si>
  <si>
    <t xml:space="preserve">ghiChiSo</t>
  </si>
  <si>
    <t xml:space="preserve">chiSoMoi: int, anh</t>
  </si>
  <si>
    <t xml:space="preserve">Nhập chỉ số điện/nước của kỳ.</t>
  </si>
  <si>
    <t xml:space="preserve">kiemTraHopLe() = true; HĐ CHO_NHAN_PHONG/HIEU_LUC.</t>
  </si>
  <si>
    <t xml:space="preserve">Lưu chiSoCu (tự lấy từ lần trước), chiSoMoi, ngayGhi, ảnh; ghi NhatKyThaoTac.</t>
  </si>
  <si>
    <t xml:space="preserve">UC05.02, UC03.06, UC04.04</t>
  </si>
  <si>
    <t xml:space="preserve">kiemTraHopLe</t>
  </si>
  <si>
    <t xml:space="preserve">Kiểm tra chỉ số mới không nhỏ hơn số cũ.</t>
  </si>
  <si>
    <t xml:space="preserve">true khi chiSoMoi ≥ chiSoCu; false → chặn lưu.</t>
  </si>
  <si>
    <t xml:space="preserve">UC05.03</t>
  </si>
  <si>
    <t xml:space="preserve">tinhTieuThu</t>
  </si>
  <si>
    <t xml:space="preserve">Lượng tiêu thụ trong kỳ.</t>
  </si>
  <si>
    <t xml:space="preserve">chiSoMoi − chiSoCu.</t>
  </si>
  <si>
    <t xml:space="preserve">themDong</t>
  </si>
  <si>
    <t xml:space="preserve">dong: DongThongBaoTien</t>
  </si>
  <si>
    <t xml:space="preserve">Thêm dòng khoản thu (phí phát sinh, giảm trừ, điều chỉnh sửa sai thông báo đã thu).</t>
  </si>
  <si>
    <t xml:space="preserve">trangThai = NHAP. Dòng DIEU_CHINH: bắt buộc maThongBaoTienGoc (thông báo DA_THU_DU / DA_THU_MOT_PHAN của cùng HĐ) và dienGiai nêu lý do.</t>
  </si>
  <si>
    <t xml:space="preserve">Thêm dòng; gọi tinhTong().</t>
  </si>
  <si>
    <t xml:space="preserve">BR-HD-01, BR-HD-04</t>
  </si>
  <si>
    <t xml:space="preserve">UC05.05, UC07.07</t>
  </si>
  <si>
    <t xml:space="preserve">tinhTong</t>
  </si>
  <si>
    <t xml:space="preserve">Tính tổng thông báo.</t>
  </si>
  <si>
    <t xml:space="preserve">tongTien = ROUND(Σ thanhTien + noCu, đến 1.000 đ) – làm tròn ở tổng, không làm tròn từng dòng (giả định làm tròn half-up).</t>
  </si>
  <si>
    <t xml:space="preserve">phatHanh</t>
  </si>
  <si>
    <t xml:space="preserve">Phát hành thông báo cho khách. Gọi từ DichVuThongBaoTien.phatHanhHangLoat() (thông báo hằng tháng) hoặc tự động khi lập thông báo ký HĐ / thu thêm quyết toán.</t>
  </si>
  <si>
    <t xml:space="preserve">trangThai = NHAP; có đủ dòng DIEN/NUOC (BR-HD-02); nếu HĐ hết hạn trong tháng kế tiếp mà chưa gia hạn → cảnh báo trước khi phát hành.</t>
  </si>
  <si>
    <t xml:space="preserve">trangThai = DA_PHAT_HANH; ngayPhatHanh; hanThanhToan; gửi ThongBao TB_TIEN_MOI; ghi NhatKyThaoTac.</t>
  </si>
  <si>
    <t xml:space="preserve">BR-HD-02, BR-HD-03</t>
  </si>
  <si>
    <t xml:space="preserve">UC05.06</t>
  </si>
  <si>
    <t xml:space="preserve">huy</t>
  </si>
  <si>
    <t xml:space="preserve">lyDo: String</t>
  </si>
  <si>
    <t xml:space="preserve">Hủy thông báo đã lập sai.</t>
  </si>
  <si>
    <t xml:space="preserve">trangThai ∈ {DA_PHAT_HANH, QUA_HAN} và soDaThu = 0; lyDo bắt buộc. Thông báo NHAP thì xóa, không qua DA_HUY. Đã thu → không hủy, ghi dòng DIEU_CHINH vào thông báo tháng sau.</t>
  </si>
  <si>
    <t xml:space="preserve">trangThai = DA_HUY; lyDoHuy; ghi NhatKyThaoTac; cho phép lập lại (mã thêm hậu tố R1, R2…).</t>
  </si>
  <si>
    <t xml:space="preserve">BR-HD-04</t>
  </si>
  <si>
    <t xml:space="preserve">UC05.08</t>
  </si>
  <si>
    <t xml:space="preserve">capNhatTrangThaiThu</t>
  </si>
  <si>
    <t xml:space="preserve">Cập nhật trạng thái thu sau mỗi lần xác nhận/hủy phiếu thu hoặc từ chối báo CK.</t>
  </si>
  <si>
    <t xml:space="preserve">soDaThu = Σ PhieuThu HIEU_LUC. 0 → DA_PHAT_HANH (QUA_HAN nếu quá hạn); &lt; tongTien → DA_THU_MOT_PHAN; ≥ tongTien → DA_THU_DU.</t>
  </si>
  <si>
    <t xml:space="preserve">BR-TT-03</t>
  </si>
  <si>
    <t xml:space="preserve">UC06.02, UC06.06</t>
  </si>
  <si>
    <t xml:space="preserve">Sinh QR cho số tiền còn phải trả.</t>
  </si>
  <si>
    <t xml:space="preserve">trangThai ∉ {NHAP, DA_HUY, DA_THU_DU}.</t>
  </si>
  <si>
    <t xml:space="preserve">Gọi ToaNha.taoMaVietQR(tongTien − soDaThu, maThongBaoTien).</t>
  </si>
  <si>
    <t xml:space="preserve">ghiNhanThu</t>
  </si>
  <si>
    <t xml:space="preserve">soTien: decimal, hinhThuc: HinhThucTT, nguoiNop: String, ngayThu: Date</t>
  </si>
  <si>
    <t xml:space="preserve">Chủ nhà ghi nhận thu trực tiếp (thay cho thuTienMat): tiền mặt, hoặc chuyển khoản mà khách không báo qua hệ thống (vd tiền ký HĐ khi khách chưa có tài khoản – CN-03.03, CN-05.03).</t>
  </si>
  <si>
    <t xml:space="preserve">soTien &gt; 0; trangThai ∈ {DA_PHAT_HANH, DA_THU_MOT_PHAN, QUA_HAN} (nhóm Chưa thu đủ); đang CHO_XAC_NHAN thì chặn – xử lý báo chuyển khoản trước.</t>
  </si>
  <si>
    <t xml:space="preserve">Tạo PhieuThu hinhThuc = tham số, maBaoTT = NULL; gọi capNhatTrangThaiThu(); gửi ThongBao XAC_NHAN_THU nếu HĐ đã có tài khoản khách; ghi NhatKyThaoTac.</t>
  </si>
  <si>
    <t xml:space="preserve">BR-TT-02, BR-TT-03</t>
  </si>
  <si>
    <t xml:space="preserve">UC06.04, UC06.05</t>
  </si>
  <si>
    <t xml:space="preserve">danhDauQuaHan</t>
  </si>
  <si>
    <t xml:space="preserve">ngay: Date</t>
  </si>
  <si>
    <t xml:space="preserve">Bộ hẹn giờ đánh dấu quá hạn.</t>
  </si>
  <si>
    <t xml:space="preserve">ngay &gt; hanThanhToan; trangThai ∈ {DA_PHAT_HANH, DA_THU_MOT_PHAN}.</t>
  </si>
  <si>
    <t xml:space="preserve">trangThai = QUA_HAN; xuất hiện trong danh sách công nợ quá hạn.</t>
  </si>
  <si>
    <t xml:space="preserve">UC06.08</t>
  </si>
  <si>
    <t xml:space="preserve">tinhThanhTien</t>
  </si>
  <si>
    <t xml:space="preserve">Tính thành tiền của dòng.</t>
  </si>
  <si>
    <t xml:space="preserve">soLuong × donGia × tyLeNgayO; GIAM_TRU mang dấu âm; không làm tròn.</t>
  </si>
  <si>
    <t xml:space="preserve">guiBao</t>
  </si>
  <si>
    <t xml:space="preserve">anhBienLai (tùy chọn)</t>
  </si>
  <si>
    <t xml:space="preserve">Khách bấm 'Tôi đã chuyển khoản'.</t>
  </si>
  <si>
    <t xml:space="preserve">TBT thuộc phòng của khách; trangThai TBT ∈ {DA_PHAT_HANH, DA_THU_MOT_PHAN, QUA_HAN}; không có báo khác đang CHO_XAC_NHAN.</t>
  </si>
  <si>
    <t xml:space="preserve">Tạo BaoThanhToan CHO_XAC_NHAN; TBT → CHO_XAC_NHAN; gửi ThongBao KHACH_BAO_CK cho chủ nhà.</t>
  </si>
  <si>
    <t xml:space="preserve">UC06.01</t>
  </si>
  <si>
    <t xml:space="preserve">xacNhan</t>
  </si>
  <si>
    <t xml:space="preserve">soTienThucNhan: decimal</t>
  </si>
  <si>
    <t xml:space="preserve">Chủ nhà xác nhận đã nhận tiền sau khi đối chiếu ngân hàng.</t>
  </si>
  <si>
    <t xml:space="preserve">trangThai = CHO_XAC_NHAN; soTienThucNhan &gt; 0.</t>
  </si>
  <si>
    <t xml:space="preserve">DA_XAC_NHAN; tạo PhieuThu CHUYEN_KHOAN; TBT.capNhatTrangThaiThu(); gửi ThongBao XAC_NHAN_THU kèm phiếu thu.</t>
  </si>
  <si>
    <t xml:space="preserve">UC06.02, UC06.05</t>
  </si>
  <si>
    <t xml:space="preserve">tuChoi</t>
  </si>
  <si>
    <t xml:space="preserve">Chủ nhà chưa thấy tiền về.</t>
  </si>
  <si>
    <t xml:space="preserve">trangThai = CHO_XAC_NHAN; lyDo bắt buộc.</t>
  </si>
  <si>
    <t xml:space="preserve">TU_CHOI; TBT về trạng thái trước khi khách báo (DA_PHAT_HANH / DA_THU_MOT_PHAN / QUA_HAN); gửi ThongBao TU_CHOI_BAO_CK kèm lý do cho khách.</t>
  </si>
  <si>
    <t xml:space="preserve">UC06.03</t>
  </si>
  <si>
    <t xml:space="preserve">sinhSoPhieu</t>
  </si>
  <si>
    <t xml:space="preserve">Sinh số phiếu thu liên tục.</t>
  </si>
  <si>
    <t xml:space="preserve">Chạy trong transaction có khóa để không trùng/nhảy số.</t>
  </si>
  <si>
    <t xml:space="preserve">PT-yyyy-NNNNN tăng dần; không tái sử dụng số của phiếu đã hủy.</t>
  </si>
  <si>
    <t xml:space="preserve">UC06.05</t>
  </si>
  <si>
    <t xml:space="preserve">docSoTienBangChu</t>
  </si>
  <si>
    <t xml:space="preserve">Đọc số tiền bằng chữ tiếng Việt.</t>
  </si>
  <si>
    <t xml:space="preserve">Vd 4.548.000 → 'Bốn triệu năm trăm bốn mươi tám nghìn đồng'.</t>
  </si>
  <si>
    <t xml:space="preserve">Hủy phiếu thu (không xóa).</t>
  </si>
  <si>
    <t xml:space="preserve">trangThai = HIEU_LUC; lyDo bắt buộc.</t>
  </si>
  <si>
    <t xml:space="preserve">DA_HUY; TBT.capNhatTrangThaiThu(); ghi NhatKyThaoTac.</t>
  </si>
  <si>
    <t xml:space="preserve">UC06.06</t>
  </si>
  <si>
    <t xml:space="preserve">xuatPDF</t>
  </si>
  <si>
    <t xml:space="preserve">File (.pdf/.png)</t>
  </si>
  <si>
    <t xml:space="preserve">Xuất phiếu thu để xem/in.</t>
  </si>
  <si>
    <t xml:space="preserve">Khách chỉ xem phiếu của phòng mình.</t>
  </si>
  <si>
    <t xml:space="preserve">Gồm số phiếu, ngày thu, phòng, người nộp, tháng thanh toán, chi tiết từng khoản, tổng bằng số và chữ, hình thức, thông tin chủ nhà. Ghi rõ 'không phải hóa đơn điện tử'.</t>
  </si>
  <si>
    <t xml:space="preserve">BR-HD-06</t>
  </si>
  <si>
    <t xml:space="preserve">UC06.07</t>
  </si>
  <si>
    <t xml:space="preserve">tinhQuyetToan</t>
  </si>
  <si>
    <t xml:space="preserve">Tự sinh các dòng quyết toán và tính số hoàn / thu thêm.</t>
  </si>
  <si>
    <t xml:space="preserve">Đã có ChiSo CUOI_KY và BanGiaoTaiSan TRA_PHONG; trangThai ∈ {NHAP, KHACH_KHONG_DONG_Y}.</t>
  </si>
  <si>
    <t xml:space="preserve">Sinh dòng: TIEN_COC(+), HOAN_TIEN_PHONG(+), DIEN/NUOC/DICH_VU đến ngày trả(−), NO_CHUA_TRA(−), BOI_THUONG_HU_HONG(−), PHAT_TRA_TRUOC_HAN(−, nếu ngayTra ≤ ngayHetHan). soTienQuyetToan = tienCoc + tienPhongHoanLai − tongKhauTru.</t>
  </si>
  <si>
    <t xml:space="preserve">BR-TL-01, BR-TT-04</t>
  </si>
  <si>
    <t xml:space="preserve">UC04.05, UC04.06</t>
  </si>
  <si>
    <t xml:space="preserve">themKhoanTru</t>
  </si>
  <si>
    <t xml:space="preserve">dong: DongQuyetToan</t>
  </si>
  <si>
    <t xml:space="preserve">Chủ nhà thêm / điều chỉnh khoản trừ.</t>
  </si>
  <si>
    <t xml:space="preserve">trangThai ∈ {NHAP, KHACH_KHONG_DONG_Y}; dong.coBangChung() = true; nếu KHACH_KHONG_DONG_Y thì ghi lyDoDieuChinh.</t>
  </si>
  <si>
    <t xml:space="preserve">Thêm dòng; tính lại tongKhauTru, soTienQuyetToan.</t>
  </si>
  <si>
    <t xml:space="preserve">suaKhoanTru</t>
  </si>
  <si>
    <t xml:space="preserve">maDong: String, dongMoi: DongQuyetToan, lyDo: String</t>
  </si>
  <si>
    <t xml:space="preserve">Chủ nhà sửa một khoản trừ (số tiền, ghi chú, ảnh) – CN-04.02.</t>
  </si>
  <si>
    <t xml:space="preserve">trangThai ∈ {NHAP, KHACH_KHONG_DONG_Y}; dòng không phải TIEN_COC / HOAN_TIEN_PHONG; dongMoi.coBangChung() = true; KHACH_KHONG_DONG_Y → lyDo bắt buộc.</t>
  </si>
  <si>
    <t xml:space="preserve">Cập nhật dòng; tính lại tongKhauTru, soTienQuyetToan; lưu lyDoDieuChinh; ghi NhatKyThaoTac.</t>
  </si>
  <si>
    <t xml:space="preserve">BR-TL-02, BR-TL-03</t>
  </si>
  <si>
    <t xml:space="preserve">xoaKhoanTru</t>
  </si>
  <si>
    <t xml:space="preserve">maDong: String, lyDo: String</t>
  </si>
  <si>
    <t xml:space="preserve">Chủ nhà bỏ một khoản trừ đã ghi – CN-04.02.</t>
  </si>
  <si>
    <t xml:space="preserve">trangThai ∈ {NHAP, KHACH_KHONG_DONG_Y}; dòng không phải TIEN_COC / HOAN_TIEN_PHONG; KHACH_KHONG_DONG_Y → lyDo bắt buộc.</t>
  </si>
  <si>
    <t xml:space="preserve">Xóa dòng; tính lại tongKhauTru, soTienQuyetToan; lưu lyDoDieuChinh; ghi NhatKyThaoTac.</t>
  </si>
  <si>
    <t xml:space="preserve">BR-TL-03</t>
  </si>
  <si>
    <t xml:space="preserve">guiKhach</t>
  </si>
  <si>
    <t xml:space="preserve">Chủ nhà gửi bảng quyết toán cho khách xem và phản hồi.</t>
  </si>
  <si>
    <t xml:space="preserve">trangThai ∈ {NHAP, KHACH_KHONG_DONG_Y}.</t>
  </si>
  <si>
    <t xml:space="preserve">trangThai = CHO_PHAN_HOI; khachDongY = NULL; gửi ThongBao QUYET_TOAN_DA_GUI cho khách.</t>
  </si>
  <si>
    <t xml:space="preserve">UC04.05, UC04.10</t>
  </si>
  <si>
    <t xml:space="preserve">khachPhanHoi</t>
  </si>
  <si>
    <t xml:space="preserve">dongY: boolean, yKien: String</t>
  </si>
  <si>
    <t xml:space="preserve">Khách đồng ý / không đồng ý quyết toán trên hệ thống.</t>
  </si>
  <si>
    <t xml:space="preserve">trangThai = CHO_PHAN_HOI; người gọi là khách của HĐ; dongY = false → yKien bắt buộc.</t>
  </si>
  <si>
    <t xml:space="preserve">Lưu khachDongY, yKienKhach, thoiDiemPhanHoi. Đồng ý → trangThai = DA_CHOT; không đồng ý → KHACH_KHONG_DONG_Y. Gửi ThongBao KHACH_PHAN_HOI_QT cho chủ nhà.</t>
  </si>
  <si>
    <t xml:space="preserve">UC04.11</t>
  </si>
  <si>
    <t xml:space="preserve">chotQuyetToan</t>
  </si>
  <si>
    <t xml:space="preserve">Chủ nhà chốt khi khách không đồng ý hoặc không phản hồi.</t>
  </si>
  <si>
    <t xml:space="preserve">trangThai ∈ {CHO_PHAN_HOI, KHACH_KHONG_DONG_Y}; lyDo bắt buộc (lưu vào lyDoDieuChinh).</t>
  </si>
  <si>
    <t xml:space="preserve">trangThai = DA_CHOT; ghi NhatKyThaoTac.</t>
  </si>
  <si>
    <t xml:space="preserve">lapPhieuChi</t>
  </si>
  <si>
    <t xml:space="preserve">hinhThuc: HinhThucTT</t>
  </si>
  <si>
    <t xml:space="preserve">Lập phiếu chi hoàn cọc.</t>
  </si>
  <si>
    <t xml:space="preserve">trangThai = DA_CHOT; soTienQuyetToan &gt; 0.</t>
  </si>
  <si>
    <t xml:space="preserve">Tạo PhieuChi soTien = soTienQuyetToan; trangThai = HOAN_TAT; ghi NhatKyThaoTac; chủ nhà xem / in phiếu chi (PhieuChi.xuatPDF) và xác nhận thanh lý tiếp (HopDong.thanhLy()).</t>
  </si>
  <si>
    <t xml:space="preserve">lapThongBaoThuThem</t>
  </si>
  <si>
    <t xml:space="preserve">Lập thông báo thu thêm khi số quyết toán âm.</t>
  </si>
  <si>
    <t xml:space="preserve">trangThai = DA_CHOT; soTienQuyetToan &lt; 0.</t>
  </si>
  <si>
    <t xml:space="preserve">ThongBaoTien loai THU_THEM_QUYET_TOAN, tongTien = |soTienQuyetToan|, phát hành; thu theo P03; trangThai = HOAN_TAT; chủ nhà xác nhận thanh lý tiếp (HopDong.thanhLy()).</t>
  </si>
  <si>
    <t xml:space="preserve">UC04.08</t>
  </si>
  <si>
    <t xml:space="preserve">coBangChung</t>
  </si>
  <si>
    <t xml:space="preserve">Kiểm tra dòng trừ có đủ bằng chứng.</t>
  </si>
  <si>
    <t xml:space="preserve">true khi là dòng cộng, hoặc dòng trừ có ghiChu và anhBangChung.</t>
  </si>
  <si>
    <t xml:space="preserve">File (.pdf)</t>
  </si>
  <si>
    <t xml:space="preserve">Xuất phiếu chi để in.</t>
  </si>
  <si>
    <t xml:space="preserve">PDF gồm số phiếu, ngày, người nhận, số tiền bằng số và chữ, hình thức, thông tin chủ nhà.</t>
  </si>
  <si>
    <t xml:space="preserve">baoSuCo</t>
  </si>
  <si>
    <t xml:space="preserve">loaiSuCo, moTa, anh</t>
  </si>
  <si>
    <t xml:space="preserve">Khách báo sự cố.</t>
  </si>
  <si>
    <t xml:space="preserve">Khách có HĐ hiệu lực; maPhong = phòng của khách.</t>
  </si>
  <si>
    <t xml:space="preserve">Tạo SuCo MOI; LichSuSuCo; gửi ThongBao SU_CO_MOI cho chủ nhà; hiện trong danh sách việc cần làm.</t>
  </si>
  <si>
    <t xml:space="preserve">UC07.01</t>
  </si>
  <si>
    <t xml:space="preserve">tiepNhan</t>
  </si>
  <si>
    <t xml:space="preserve">lichHen: DateTime</t>
  </si>
  <si>
    <t xml:space="preserve">Chủ nhà tiếp nhận và hẹn lịch.</t>
  </si>
  <si>
    <t xml:space="preserve">trangThai ∈ {MOI, MO_LAI}.</t>
  </si>
  <si>
    <t xml:space="preserve">DANG_XU_LY; lưu lichHen; LichSuSuCo; ThongBao SU_CO_DOI_TRANG_THAI cho khách.</t>
  </si>
  <si>
    <t xml:space="preserve">UC07.04</t>
  </si>
  <si>
    <t xml:space="preserve">Từ chối sự cố không thuộc trách nhiệm chủ nhà.</t>
  </si>
  <si>
    <t xml:space="preserve">trangThai = MOI; lyDo bắt buộc.</t>
  </si>
  <si>
    <t xml:space="preserve">TU_CHOI; LichSuSuCo; ThongBao cho khách.</t>
  </si>
  <si>
    <t xml:space="preserve">BR-SC-02</t>
  </si>
  <si>
    <t xml:space="preserve">UC07.06</t>
  </si>
  <si>
    <t xml:space="preserve">hoanThanh</t>
  </si>
  <si>
    <t xml:space="preserve">ketQua: String, chiPhi: decimal, doKhachGay: boolean, anh</t>
  </si>
  <si>
    <t xml:space="preserve">Ghi kết quả xử lý.</t>
  </si>
  <si>
    <t xml:space="preserve">trangThai = DANG_XU_LY; ketQua không rỗng.</t>
  </si>
  <si>
    <t xml:space="preserve">DA_XU_LY; LichSuSuCo; ThongBao cho khách; doKhachGay = true → gọi tinhPhiChoKhach().</t>
  </si>
  <si>
    <t xml:space="preserve">BR-SC-03</t>
  </si>
  <si>
    <t xml:space="preserve">UC07.05</t>
  </si>
  <si>
    <t xml:space="preserve">moLai</t>
  </si>
  <si>
    <t xml:space="preserve">ghiChu: String</t>
  </si>
  <si>
    <t xml:space="preserve">Khách báo chưa khắc phục.</t>
  </si>
  <si>
    <t xml:space="preserve">trangThai = DA_XU_LY; người gọi là khách của phòng.</t>
  </si>
  <si>
    <t xml:space="preserve">MO_LAI; LichSuSuCo; gửi ThongBao SU_CO_MO_LAI cho chủ nhà.</t>
  </si>
  <si>
    <t xml:space="preserve">UC07.03</t>
  </si>
  <si>
    <t xml:space="preserve">tinhPhiChoKhach</t>
  </si>
  <si>
    <t xml:space="preserve">Tạo phí phát sinh do khách gây ra.</t>
  </si>
  <si>
    <t xml:space="preserve">doKhachGay = true; chiPhi &gt; 0.</t>
  </si>
  <si>
    <t xml:space="preserve">DongThongBaoTien PHI_PHAT_SINH (maSuCo) gắn vào thông báo NHAP của kỳ hiện tại (tạo chờ nếu chưa lập).</t>
  </si>
  <si>
    <t xml:space="preserve">BR-SC-03, BR-HD-01</t>
  </si>
  <si>
    <t xml:space="preserve">UC07.07, UC05.05</t>
  </si>
  <si>
    <t xml:space="preserve">suCo, trangThaiMoi, ghiChu</t>
  </si>
  <si>
    <t xml:space="preserve">Ghi lịch sử mỗi lần đổi trạng thái.</t>
  </si>
  <si>
    <t xml:space="preserve">Thêm bản ghi; cả chủ nhà và khách cùng xem.</t>
  </si>
  <si>
    <t xml:space="preserve">lapThongBaoHangLoat</t>
  </si>
  <si>
    <t xml:space="preserve">kyThang: String</t>
  </si>
  <si>
    <t xml:space="preserve">List&lt;ThongBaoTien&gt;</t>
  </si>
  <si>
    <t xml:space="preserve">Chủ nhà bấm lập thông báo cuối tháng T; hệ thống tính cho mọi phòng DANG_THUE.</t>
  </si>
  <si>
    <t xml:space="preserve">Chỉ lập cho HĐ đã đủ chỉ số kỳ T (BR-HD-02); mỗi HĐ mỗi kỳ 1 thông báo chưa hủy (BR-HD-01).</t>
  </si>
  <si>
    <t xml:space="preserve">Mỗi HĐ 1 ThongBaoTien NHAP gồm: DIEN, NUOC (theo công tơ hoặc soNguoi × đơn giá × tỷ lệ), DICH_VU tháng T (tỷ lệ ngày ở), TIEN_PHONG tháng T+1 (HopDong.tinhTienPhong), phí phát sinh chờ, noCu (BR-TT-03). Trả danh sách phòng còn thiếu chỉ số.</t>
  </si>
  <si>
    <t xml:space="preserve">BR-HD-01, BR-HD-02, BR-HD-03, BR-TT-03</t>
  </si>
  <si>
    <t xml:space="preserve">phatHanhHangLoat</t>
  </si>
  <si>
    <t xml:space="preserve">dsMaThongBaoTien: List&lt;String&gt;</t>
  </si>
  <si>
    <t xml:space="preserve">Phát hành hàng loạt sau khi rà soát.</t>
  </si>
  <si>
    <t xml:space="preserve">Gọi ThongBaoTien.phatHanh() cho từng thông báo; trả danh sách lỗi/cảnh báo.</t>
  </si>
  <si>
    <t xml:space="preserve">bangTongHop</t>
  </si>
  <si>
    <t xml:space="preserve">List&lt;Dòng tổng hợp&gt;</t>
  </si>
  <si>
    <t xml:space="preserve">Bảng tổng hợp cả tòa để rà soát trước khi phát hành.</t>
  </si>
  <si>
    <t xml:space="preserve">Mỗi phòng: điện, nước, dịch vụ, tiền phòng, phát sinh, nợ cũ, tổng, trạng thái.</t>
  </si>
  <si>
    <t xml:space="preserve">chayHangNgay</t>
  </si>
  <si>
    <t xml:space="preserve">Job chạy 1 lần/ngày (vd 07:00).</t>
  </si>
  <si>
    <t xml:space="preserve">Idempotent: không tạo trùng thông báo/việc cho cùng sự kiện, cùng ngày.</t>
  </si>
  <si>
    <t xml:space="preserve">(1) Ngày chốt → đưa 'Ghi chỉ số' vào việc cần làm; (2) ngày hạn và hạn + 3 ngày → ThongBao NHAC_HAN_TT / QUA_HAN_TT; (3) ThongBaoTien.danhDauQuaHan(); (4) HĐ còn đúng 30 ngày đến ngayHetHan → ThongBao HD_SAP_HET_HAN cho chủ nhà + khách.</t>
  </si>
  <si>
    <t xml:space="preserve">UC05.01, UC06.08, UC04.01</t>
  </si>
  <si>
    <t xml:space="preserve">layDanhSach</t>
  </si>
  <si>
    <t xml:space="preserve">List&lt;ViecCanLam&gt;</t>
  </si>
  <si>
    <t xml:space="preserve">Gồm: báo chuyển khoản chờ xác nhận, thông báo quá hạn, sự cố MOI/MO_LAI, HĐ hết hạn trong 30 ngày, phòng còn thiếu chỉ số kỳ hiện tại, yêu cầu trả phòng mới (HĐ có ngayBaoTra, chưa kiểm tra phòng).</t>
  </si>
  <si>
    <t xml:space="preserve">Đề xuất bổ sung · sửa ver1.4</t>
  </si>
  <si>
    <t xml:space="preserve">tinhTrangPhong</t>
  </si>
  <si>
    <t xml:space="preserve">Dữ liệu sơ đồ</t>
  </si>
  <si>
    <t xml:space="preserve">Số phòng theo trạng thái, sơ đồ tòa theo tầng (có nhãn Sắp trả).</t>
  </si>
  <si>
    <t xml:space="preserve">Thời gian thực.</t>
  </si>
  <si>
    <t xml:space="preserve">UC08.06</t>
  </si>
  <si>
    <t xml:space="preserve">tyLeLapDay</t>
  </si>
  <si>
    <t xml:space="preserve">Tỷ lệ lấp đầy cuối tháng.</t>
  </si>
  <si>
    <t xml:space="preserve">Số phòng DANG_THUE / số phòng khai thác (không gồm NGUNG_KHAI_THAC) tại cuối tháng.</t>
  </si>
  <si>
    <t xml:space="preserve">doanhThu</t>
  </si>
  <si>
    <t xml:space="preserve">Bảng theo khoản</t>
  </si>
  <si>
    <t xml:space="preserve">Doanh thu theo tháng, theo khoản.</t>
  </si>
  <si>
    <t xml:space="preserve">Σ thanhTien của thông báo đã phát hành (không DA_HUY), nhóm theo TIEN_PHONG, DIEN, NUOC, DICH_VU, PHI_PHAT_SINH; không gồm TIEN_COC (giả định).</t>
  </si>
  <si>
    <t xml:space="preserve">UC08.07</t>
  </si>
  <si>
    <t xml:space="preserve">tyLeThu</t>
  </si>
  <si>
    <t xml:space="preserve">tuNgay, denNgay</t>
  </si>
  <si>
    <t xml:space="preserve">Tỷ lệ thu.</t>
  </si>
  <si>
    <t xml:space="preserve">Đã thu / phải thu của tháng.</t>
  </si>
  <si>
    <t xml:space="preserve">congNoQuaHan</t>
  </si>
  <si>
    <t xml:space="preserve">List</t>
  </si>
  <si>
    <t xml:space="preserve">Công nợ quá hạn theo phòng và số ngày quá hạn.</t>
  </si>
  <si>
    <t xml:space="preserve">Thông báo QUA_HAN: phòng, số còn nợ, số ngày quá hạn.</t>
  </si>
  <si>
    <t xml:space="preserve">cocDangGiu</t>
  </si>
  <si>
    <t xml:space="preserve">Tổng cọc chưa hoàn theo phòng.</t>
  </si>
  <si>
    <t xml:space="preserve">Σ HopDong.tienCoc của HĐ chưa có quyết toán HOAN_TAT.</t>
  </si>
  <si>
    <t xml:space="preserve">BR-TT-04</t>
  </si>
  <si>
    <t xml:space="preserve">UC08.08</t>
  </si>
  <si>
    <t xml:space="preserve">hopDongSapHetHan</t>
  </si>
  <si>
    <t xml:space="preserve">soNgay: int = 30</t>
  </si>
  <si>
    <t xml:space="preserve">HĐ hết hạn trong N ngày tới.</t>
  </si>
  <si>
    <t xml:space="preserve">suCoDangMo</t>
  </si>
  <si>
    <t xml:space="preserve">List&lt;SuCo&gt;</t>
  </si>
  <si>
    <t xml:space="preserve">Sự cố MOI, DANG_XU_LY, MO_LAI.</t>
  </si>
  <si>
    <t xml:space="preserve">UC08.09</t>
  </si>
  <si>
    <t xml:space="preserve">nhapDuLieuDangVanHanh</t>
  </si>
  <si>
    <t xml:space="preserve">dsKhach, dsNguoiO, dsHopDong (kèm dsDichVu), dsChiSo, dsNoTon</t>
  </si>
  <si>
    <t xml:space="preserve">List&lt;(HopDong, TaiKhoan, matKhauTam)&gt;</t>
  </si>
  <si>
    <t xml:space="preserve">P00 bước 6: nhập dữ liệu của tòa đang vận hành trước khi dùng.</t>
  </si>
  <si>
    <t xml:space="preserve">Chạy 1 lần khi bàn giao.</t>
  </si>
  <si>
    <t xml:space="preserve">Tạo KhachThue, NguoiO, HopDong HIEU_LUC (bỏ qua bước thu tiền ký HĐ), HopDongDichVu, Phong → DANG_THUE, ChiSo DAU_KY = chỉ số gần nhất; nợ tồn đưa vào noCu của thông báo đầu tiên. Bước cuối: gọi TaiKhoan.taoTaiKhoanKhach(hopDong, nguoiO?) cho từng HĐ và trả danh sách mật khẩu tạm.</t>
  </si>
  <si>
    <t xml:space="preserve">UC01.08, UC01.03</t>
  </si>
  <si>
    <t xml:space="preserve">4. DANH MỤC GIÁ TRỊ ENUM</t>
  </si>
  <si>
    <t xml:space="preserve">Code lưu CSDL dạng UPPER_SNAKE_CASE; nhãn hiển thị tiếng Việt trên giao diện. 'Suy luận' = tài liệu không liệt kê tường minh.</t>
  </si>
  <si>
    <t xml:space="preserve">Kiểu enum</t>
  </si>
  <si>
    <t xml:space="preserve">Giá trị (code)</t>
  </si>
  <si>
    <t xml:space="preserve">Nhãn hiển thị</t>
  </si>
  <si>
    <t xml:space="preserve">Ý nghĩa / ghi chú</t>
  </si>
  <si>
    <t xml:space="preserve">Dùng tại</t>
  </si>
  <si>
    <t xml:space="preserve">Căn cứ</t>
  </si>
  <si>
    <t xml:space="preserve">CHU_NHA</t>
  </si>
  <si>
    <t xml:space="preserve">Quản trị hệ thống; đúng 1 tài khoản</t>
  </si>
  <si>
    <t xml:space="preserve">TaiKhoan.vaiTro, LichSuSuCo.vaiTroThucHien</t>
  </si>
  <si>
    <t xml:space="preserve">Mô tả YC – Người dùng</t>
  </si>
  <si>
    <t xml:space="preserve">KHACH_THUE</t>
  </si>
  <si>
    <t xml:space="preserve">1 tài khoản / phòng</t>
  </si>
  <si>
    <t xml:space="preserve">Hoạt động</t>
  </si>
  <si>
    <t xml:space="preserve">TaiKhoan.trangThai</t>
  </si>
  <si>
    <t xml:space="preserve">Suy luận từ mục 11</t>
  </si>
  <si>
    <t xml:space="preserve">KHOA_TAM</t>
  </si>
  <si>
    <t xml:space="preserve">Khóa tạm</t>
  </si>
  <si>
    <t xml:space="preserve">Sau 5 lần nhập sai</t>
  </si>
  <si>
    <t xml:space="preserve">DA_KHOA</t>
  </si>
  <si>
    <t xml:space="preserve">Đã khóa</t>
  </si>
  <si>
    <t xml:space="preserve">Khi thanh lý HĐ hoặc chủ nhà khóa</t>
  </si>
  <si>
    <t xml:space="preserve">Trống</t>
  </si>
  <si>
    <t xml:space="preserve">Phong.trangThai</t>
  </si>
  <si>
    <t xml:space="preserve">Sơ đồ trạng thái</t>
  </si>
  <si>
    <t xml:space="preserve">DANG_THUE</t>
  </si>
  <si>
    <t xml:space="preserve">Đang thuê</t>
  </si>
  <si>
    <t xml:space="preserve">Nhãn phụ 'Sắp trả' khi đã báo trả</t>
  </si>
  <si>
    <t xml:space="preserve">NGUNG_KHAI_THAC</t>
  </si>
  <si>
    <t xml:space="preserve">Ngừng khai thác</t>
  </si>
  <si>
    <t xml:space="preserve">DIEN</t>
  </si>
  <si>
    <t xml:space="preserve">Điện</t>
  </si>
  <si>
    <t xml:space="preserve">(Chỉ số cuối − đầu) × đơn giá; đơn vị kWh</t>
  </si>
  <si>
    <t xml:space="preserve">BangGia.loaiKhoan</t>
  </si>
  <si>
    <t xml:space="preserve">Mô tả YC 2.2</t>
  </si>
  <si>
    <t xml:space="preserve">NUOC</t>
  </si>
  <si>
    <t xml:space="preserve">Nước theo công tơ</t>
  </si>
  <si>
    <t xml:space="preserve">Đơn vị m3</t>
  </si>
  <si>
    <t xml:space="preserve">NUOC_THEO_NGUOI</t>
  </si>
  <si>
    <t xml:space="preserve">Nước theo người</t>
  </si>
  <si>
    <t xml:space="preserve">Phòng không có công tơ nước riêng; đơn vị người/tháng</t>
  </si>
  <si>
    <t xml:space="preserve">DICH_VU_THEO_PHONG</t>
  </si>
  <si>
    <t xml:space="preserve">Phí dịch vụ theo phòng</t>
  </si>
  <si>
    <t xml:space="preserve">Internet, vệ sinh…</t>
  </si>
  <si>
    <t xml:space="preserve">DICH_VU_THEO_XE</t>
  </si>
  <si>
    <t xml:space="preserve">Phí dịch vụ theo xe</t>
  </si>
  <si>
    <t xml:space="preserve">Gửi xe; nhân số xe</t>
  </si>
  <si>
    <t xml:space="preserve">Chờ nhận phòng</t>
  </si>
  <si>
    <t xml:space="preserve">Đã lưu HĐ, chưa xác nhận nhận phòng</t>
  </si>
  <si>
    <t xml:space="preserve">HopDong.trangThai</t>
  </si>
  <si>
    <t xml:space="preserve">Sơ đồ trạng thái QT v1.3</t>
  </si>
  <si>
    <t xml:space="preserve">Hiệu lực</t>
  </si>
  <si>
    <t xml:space="preserve">Gia hạn, điều chỉnh, báo trả vẫn giữ Hiệu lực</t>
  </si>
  <si>
    <t xml:space="preserve">DA_THANH_LY</t>
  </si>
  <si>
    <t xml:space="preserve">Đã thanh lý</t>
  </si>
  <si>
    <t xml:space="preserve">KHACH_BAO_TRA</t>
  </si>
  <si>
    <t xml:space="preserve">Khách báo trả</t>
  </si>
  <si>
    <t xml:space="preserve">HopDong.loaiKetThuc</t>
  </si>
  <si>
    <t xml:space="preserve">Mô tả YC P05 – Trigger</t>
  </si>
  <si>
    <t xml:space="preserve">HET_HAN</t>
  </si>
  <si>
    <t xml:space="preserve">Hết hạn không gia hạn</t>
  </si>
  <si>
    <t xml:space="preserve">CHAM_DUT_VI_PHAM</t>
  </si>
  <si>
    <t xml:space="preserve">Chủ nhà chấm dứt do vi phạm</t>
  </si>
  <si>
    <t xml:space="preserve">NHAN_PHONG</t>
  </si>
  <si>
    <t xml:space="preserve">Nhận phòng</t>
  </si>
  <si>
    <t xml:space="preserve">BanGiaoTaiSan.loaiBanGiao</t>
  </si>
  <si>
    <t xml:space="preserve">Suy luận</t>
  </si>
  <si>
    <t xml:space="preserve">TRA_PHONG</t>
  </si>
  <si>
    <t xml:space="preserve">GIA_HAN</t>
  </si>
  <si>
    <t xml:space="preserve">Gia hạn</t>
  </si>
  <si>
    <t xml:space="preserve">LichSuHopDong.loaiThayDoi</t>
  </si>
  <si>
    <t xml:space="preserve">Mô tả YC P04</t>
  </si>
  <si>
    <t xml:space="preserve">DIEU_CHINH_GIA</t>
  </si>
  <si>
    <t xml:space="preserve">Điều chỉnh giá thuê</t>
  </si>
  <si>
    <t xml:space="preserve">DIEU_CHINH_PHI</t>
  </si>
  <si>
    <t xml:space="preserve">Điều chỉnh phí dịch vụ</t>
  </si>
  <si>
    <t xml:space="preserve">THEM_NGUOI_O</t>
  </si>
  <si>
    <t xml:space="preserve">Thêm người ở</t>
  </si>
  <si>
    <t xml:space="preserve">BOT_NGUOI_O</t>
  </si>
  <si>
    <t xml:space="preserve">Bớt người ở</t>
  </si>
  <si>
    <t xml:space="preserve">ChiSo.loaiCongTo</t>
  </si>
  <si>
    <t xml:space="preserve">Nước</t>
  </si>
  <si>
    <t xml:space="preserve">DAU_KY</t>
  </si>
  <si>
    <t xml:space="preserve">Đầu kỳ</t>
  </si>
  <si>
    <t xml:space="preserve">Khi nhận phòng hoặc khởi tạo dữ liệu</t>
  </si>
  <si>
    <t xml:space="preserve">ChiSo.loaiGhi</t>
  </si>
  <si>
    <t xml:space="preserve">Hằng tháng</t>
  </si>
  <si>
    <t xml:space="preserve">CUOI_KY</t>
  </si>
  <si>
    <t xml:space="preserve">Cuối kỳ</t>
  </si>
  <si>
    <t xml:space="preserve">Khi trả phòng</t>
  </si>
  <si>
    <t xml:space="preserve">KY_HOP_DONG</t>
  </si>
  <si>
    <t xml:space="preserve">Thu khi ký HĐ</t>
  </si>
  <si>
    <t xml:space="preserve">Cọc + tiền phòng tháng đầu</t>
  </si>
  <si>
    <t xml:space="preserve">ThongBaoTien.loaiThongBao</t>
  </si>
  <si>
    <t xml:space="preserve">THU_THEM_QUYET_TOAN</t>
  </si>
  <si>
    <t xml:space="preserve">Thu thêm sau quyết toán</t>
  </si>
  <si>
    <t xml:space="preserve">Số quyết toán âm</t>
  </si>
  <si>
    <t xml:space="preserve">Nháp</t>
  </si>
  <si>
    <t xml:space="preserve">Xóa được, không qua Đã hủy</t>
  </si>
  <si>
    <t xml:space="preserve">ThongBaoTien.trangThai</t>
  </si>
  <si>
    <t xml:space="preserve">DA_PHAT_HANH</t>
  </si>
  <si>
    <t xml:space="preserve">Đã phát hành</t>
  </si>
  <si>
    <t xml:space="preserve">Thuộc nhóm Chưa thu đủ</t>
  </si>
  <si>
    <t xml:space="preserve">Chờ xác nhận</t>
  </si>
  <si>
    <t xml:space="preserve">Khách báo đã chuyển khoản</t>
  </si>
  <si>
    <t xml:space="preserve">DA_THU_MOT_PHAN</t>
  </si>
  <si>
    <t xml:space="preserve">Đã thu một phần</t>
  </si>
  <si>
    <t xml:space="preserve">DA_THU_DU</t>
  </si>
  <si>
    <t xml:space="preserve">Đã thu đủ</t>
  </si>
  <si>
    <t xml:space="preserve">QUA_HAN</t>
  </si>
  <si>
    <t xml:space="preserve">Quá hạn</t>
  </si>
  <si>
    <t xml:space="preserve">Sau hạn thanh toán; thuộc nhóm Chưa thu đủ</t>
  </si>
  <si>
    <t xml:space="preserve">DA_HUY</t>
  </si>
  <si>
    <t xml:space="preserve">Đã hủy</t>
  </si>
  <si>
    <t xml:space="preserve">TIEN_PHONG</t>
  </si>
  <si>
    <t xml:space="preserve">Tiền phòng</t>
  </si>
  <si>
    <t xml:space="preserve">Thu trước tháng T+1</t>
  </si>
  <si>
    <t xml:space="preserve">DongThongBaoTien.loaiKhoan</t>
  </si>
  <si>
    <t xml:space="preserve">Suy luận từ Mô tả YC 2.2</t>
  </si>
  <si>
    <t xml:space="preserve">TIEN_COC</t>
  </si>
  <si>
    <t xml:space="preserve">Chỉ ở thông báo KY_HOP_DONG</t>
  </si>
  <si>
    <t xml:space="preserve">DICH_VU</t>
  </si>
  <si>
    <t xml:space="preserve">Phí dịch vụ cố định</t>
  </si>
  <si>
    <t xml:space="preserve">PHI_PHAT_SINH</t>
  </si>
  <si>
    <t xml:space="preserve">Phí phát sinh</t>
  </si>
  <si>
    <t xml:space="preserve">Sửa hư hỏng, làm lại chìa, phạt trễ hạn (nếu có)</t>
  </si>
  <si>
    <t xml:space="preserve">GIAM_TRU</t>
  </si>
  <si>
    <t xml:space="preserve">Giảm trừ</t>
  </si>
  <si>
    <t xml:space="preserve">thanhTien âm; gồm khoản khách trả thừa tháng trước</t>
  </si>
  <si>
    <t xml:space="preserve">DIEU_CHINH</t>
  </si>
  <si>
    <t xml:space="preserve">Điều chỉnh</t>
  </si>
  <si>
    <t xml:space="preserve">Sửa sai thông báo đã thu (BR-HD-04); âm hoặc dương</t>
  </si>
  <si>
    <t xml:space="preserve">BaoThanhToan.trangThai</t>
  </si>
  <si>
    <t xml:space="preserve">Suy luận từ P03</t>
  </si>
  <si>
    <t xml:space="preserve">DA_XAC_NHAN</t>
  </si>
  <si>
    <t xml:space="preserve">Đã xác nhận</t>
  </si>
  <si>
    <t xml:space="preserve">TU_CHOI</t>
  </si>
  <si>
    <t xml:space="preserve">Từ chối</t>
  </si>
  <si>
    <t xml:space="preserve">CHUYEN_KHOAN</t>
  </si>
  <si>
    <t xml:space="preserve">Chuyển khoản</t>
  </si>
  <si>
    <t xml:space="preserve">PhieuThu.hinhThuc, PhieuChi.hinhThuc</t>
  </si>
  <si>
    <t xml:space="preserve">Mô tả YC</t>
  </si>
  <si>
    <t xml:space="preserve">TIEN_MAT</t>
  </si>
  <si>
    <t xml:space="preserve">Tiền mặt</t>
  </si>
  <si>
    <t xml:space="preserve">PhieuThu.trangThai</t>
  </si>
  <si>
    <t xml:space="preserve">Suy luận từ BR-TT-02</t>
  </si>
  <si>
    <t xml:space="preserve">Phải có lý do</t>
  </si>
  <si>
    <t xml:space="preserve">Chủ nhà đang rà soát</t>
  </si>
  <si>
    <t xml:space="preserve">QuyetToan.trangThai</t>
  </si>
  <si>
    <t xml:space="preserve">CHO_PHAN_HOI</t>
  </si>
  <si>
    <t xml:space="preserve">Chờ khách phản hồi</t>
  </si>
  <si>
    <t xml:space="preserve">Đã gửi khách</t>
  </si>
  <si>
    <t xml:space="preserve">KHACH_KHONG_DONG_Y</t>
  </si>
  <si>
    <t xml:space="preserve">Khách không đồng ý</t>
  </si>
  <si>
    <t xml:space="preserve">Chủ nhà điều chỉnh rồi gửi lại, hoặc chốt kèm lý do</t>
  </si>
  <si>
    <t xml:space="preserve">DA_CHOT</t>
  </si>
  <si>
    <t xml:space="preserve">Đã chốt</t>
  </si>
  <si>
    <t xml:space="preserve">Khách đồng ý, hoặc chủ nhà chốt kèm lý do</t>
  </si>
  <si>
    <t xml:space="preserve">HOAN_TAT</t>
  </si>
  <si>
    <t xml:space="preserve">Hoàn tất</t>
  </si>
  <si>
    <t xml:space="preserve">Đã lập phiếu chi hoặc thông báo thu thêm</t>
  </si>
  <si>
    <t xml:space="preserve">Tiền cọc (+)</t>
  </si>
  <si>
    <t xml:space="preserve">Cộng</t>
  </si>
  <si>
    <t xml:space="preserve">DongQuyetToan.loaiKhoan</t>
  </si>
  <si>
    <t xml:space="preserve">Mô tả YC P05 bước 3</t>
  </si>
  <si>
    <t xml:space="preserve">HOAN_TIEN_PHONG</t>
  </si>
  <si>
    <t xml:space="preserve">Hoàn tiền phòng chưa ở (+)</t>
  </si>
  <si>
    <t xml:space="preserve">Điện đến ngày trả (−)</t>
  </si>
  <si>
    <t xml:space="preserve">Trừ</t>
  </si>
  <si>
    <t xml:space="preserve">Nước đến ngày trả (−)</t>
  </si>
  <si>
    <t xml:space="preserve">Phí dịch vụ đến ngày trả (−)</t>
  </si>
  <si>
    <t xml:space="preserve">NO_CHUA_TRA</t>
  </si>
  <si>
    <t xml:space="preserve">Nợ chưa trả (−)</t>
  </si>
  <si>
    <t xml:space="preserve">BOI_THUONG_HU_HONG</t>
  </si>
  <si>
    <t xml:space="preserve">Bồi thường hư hỏng (−)</t>
  </si>
  <si>
    <t xml:space="preserve">PHAT_TRA_TRUOC_HAN</t>
  </si>
  <si>
    <t xml:space="preserve">Phạt trả trước hạn (−)</t>
  </si>
  <si>
    <t xml:space="preserve">KHAC</t>
  </si>
  <si>
    <t xml:space="preserve">Khoản khác (−)</t>
  </si>
  <si>
    <t xml:space="preserve">SuCo.loaiSuCo</t>
  </si>
  <si>
    <t xml:space="preserve">Mô tả YC P06</t>
  </si>
  <si>
    <t xml:space="preserve">THIET_BI</t>
  </si>
  <si>
    <t xml:space="preserve">Thiết bị</t>
  </si>
  <si>
    <t xml:space="preserve">INTERNET</t>
  </si>
  <si>
    <t xml:space="preserve">Internet</t>
  </si>
  <si>
    <t xml:space="preserve">Khác</t>
  </si>
  <si>
    <t xml:space="preserve">Cũng dùng để liên hệ chủ nhà (không có nhắn tin)</t>
  </si>
  <si>
    <t xml:space="preserve">Mới</t>
  </si>
  <si>
    <t xml:space="preserve">SuCo.trangThai</t>
  </si>
  <si>
    <t xml:space="preserve">DANG_XU_LY</t>
  </si>
  <si>
    <t xml:space="preserve">Đang xử lý</t>
  </si>
  <si>
    <t xml:space="preserve">DA_XU_LY</t>
  </si>
  <si>
    <t xml:space="preserve">Đã xử lý</t>
  </si>
  <si>
    <t xml:space="preserve">MO_LAI</t>
  </si>
  <si>
    <t xml:space="preserve">Mở lại</t>
  </si>
  <si>
    <t xml:space="preserve">TB_TIEN_MOI</t>
  </si>
  <si>
    <t xml:space="preserve">Thông báo tiền mới</t>
  </si>
  <si>
    <t xml:space="preserve">→ Khách, khi phát hành</t>
  </si>
  <si>
    <t xml:space="preserve">ThongBao.loaiSuKien</t>
  </si>
  <si>
    <t xml:space="preserve">Mô tả YC v1.2 P07</t>
  </si>
  <si>
    <t xml:space="preserve">NHAC_HAN_TT</t>
  </si>
  <si>
    <t xml:space="preserve">Nhắc hạn thanh toán</t>
  </si>
  <si>
    <t xml:space="preserve">→ Khách, ngày hạn</t>
  </si>
  <si>
    <t xml:space="preserve">QUA_HAN_TT</t>
  </si>
  <si>
    <t xml:space="preserve">Quá hạn thanh toán</t>
  </si>
  <si>
    <t xml:space="preserve">→ Khách, hạn + 3 ngày</t>
  </si>
  <si>
    <t xml:space="preserve">KHACH_BAO_CK</t>
  </si>
  <si>
    <t xml:space="preserve">→ Chủ nhà, ngay</t>
  </si>
  <si>
    <t xml:space="preserve">XAC_NHAN_THU</t>
  </si>
  <si>
    <t xml:space="preserve">Đã xác nhận thu, kèm phiếu thu</t>
  </si>
  <si>
    <t xml:space="preserve">→ Khách</t>
  </si>
  <si>
    <t xml:space="preserve">TU_CHOI_BAO_CK</t>
  </si>
  <si>
    <t xml:space="preserve">Từ chối báo chuyển khoản</t>
  </si>
  <si>
    <t xml:space="preserve">→ Khách, kèm lý do</t>
  </si>
  <si>
    <t xml:space="preserve">HD_SAP_HET_HAN</t>
  </si>
  <si>
    <t xml:space="preserve">Hợp đồng sắp hết hạn</t>
  </si>
  <si>
    <t xml:space="preserve">→ Chủ nhà + khách, 30 ngày trước</t>
  </si>
  <si>
    <t xml:space="preserve">SU_CO_MOI</t>
  </si>
  <si>
    <t xml:space="preserve">Sự cố mới</t>
  </si>
  <si>
    <t xml:space="preserve">SU_CO_DOI_TRANG_THAI</t>
  </si>
  <si>
    <t xml:space="preserve">Sự cố đổi trạng thái</t>
  </si>
  <si>
    <t xml:space="preserve">SU_CO_MO_LAI</t>
  </si>
  <si>
    <t xml:space="preserve">Khách mở lại sự cố</t>
  </si>
  <si>
    <t xml:space="preserve">Khách báo trả phòng</t>
  </si>
  <si>
    <t xml:space="preserve">QUYET_TOAN_DA_GUI</t>
  </si>
  <si>
    <t xml:space="preserve">Quyết toán cọc đã gửi</t>
  </si>
  <si>
    <t xml:space="preserve">KHACH_PHAN_HOI_QT</t>
  </si>
  <si>
    <t xml:space="preserve">Khách phản hồi quyết toán</t>
  </si>
  <si>
    <t xml:space="preserve">THONG_BAO_CHUNG</t>
  </si>
  <si>
    <t xml:space="preserve">Thông báo chung</t>
  </si>
  <si>
    <t xml:space="preserve">→ Toàn bộ khách</t>
  </si>
  <si>
    <t xml:space="preserve">Tự động</t>
  </si>
  <si>
    <t xml:space="preserve">Hệ thống sinh theo sự kiện</t>
  </si>
  <si>
    <t xml:space="preserve">ThongBao.nguon</t>
  </si>
  <si>
    <t xml:space="preserve">Chủ nhà gửi</t>
  </si>
  <si>
    <t xml:space="preserve">Cá nhân</t>
  </si>
  <si>
    <t xml:space="preserve">Gửi đến tài khoản cụ thể</t>
  </si>
  <si>
    <t xml:space="preserve">ThongBao.phamVi</t>
  </si>
  <si>
    <t xml:space="preserve">TOAN_TOA</t>
  </si>
  <si>
    <t xml:space="preserve">Toàn tòa</t>
  </si>
  <si>
    <t xml:space="preserve">Gửi toàn bộ khách</t>
  </si>
  <si>
    <t xml:space="preserve">5. QUAN HỆ GIỮA CÁC THỰC THỂ (ERD v1.7 – gồm D30, D31 bổ sung ver1.4)</t>
  </si>
  <si>
    <t xml:space="preserve">Đọc: 1 [Lớp A] — [Bội số B] [Lớp B].</t>
  </si>
  <si>
    <t xml:space="preserve">Mã</t>
  </si>
  <si>
    <t xml:space="preserve">Lớp A</t>
  </si>
  <si>
    <t xml:space="preserve">Bội số A</t>
  </si>
  <si>
    <t xml:space="preserve">Lớp B</t>
  </si>
  <si>
    <t xml:space="preserve">Bội số B</t>
  </si>
  <si>
    <t xml:space="preserve">Tên quan hệ</t>
  </si>
  <si>
    <t xml:space="preserve">Khóa ngoại thực hiện</t>
  </si>
  <si>
    <t xml:space="preserve">D1</t>
  </si>
  <si>
    <t xml:space="preserve">1..n</t>
  </si>
  <si>
    <t xml:space="preserve">Có</t>
  </si>
  <si>
    <t xml:space="preserve">Tòa có nhiều phòng</t>
  </si>
  <si>
    <t xml:space="preserve">Phong.maToa</t>
  </si>
  <si>
    <t xml:space="preserve">D2</t>
  </si>
  <si>
    <t xml:space="preserve">Áp dụng</t>
  </si>
  <si>
    <t xml:space="preserve">Tòa áp dụng bảng giá chung</t>
  </si>
  <si>
    <t xml:space="preserve">BangGia.maToa</t>
  </si>
  <si>
    <t xml:space="preserve">D3</t>
  </si>
  <si>
    <t xml:space="preserve">0..n</t>
  </si>
  <si>
    <t xml:space="preserve">Trang bị</t>
  </si>
  <si>
    <t xml:space="preserve">Phòng có tài sản</t>
  </si>
  <si>
    <t xml:space="preserve">TaiSan.maPhong</t>
  </si>
  <si>
    <t xml:space="preserve">D4</t>
  </si>
  <si>
    <t xml:space="preserve">Phát sinh</t>
  </si>
  <si>
    <t xml:space="preserve">Phòng phát sinh sự cố</t>
  </si>
  <si>
    <t xml:space="preserve">SuCo.maPhong</t>
  </si>
  <si>
    <t xml:space="preserve">D5</t>
  </si>
  <si>
    <t xml:space="preserve">Ghi lịch sử</t>
  </si>
  <si>
    <t xml:space="preserve">Sự cố có lịch sử xử lý</t>
  </si>
  <si>
    <t xml:space="preserve">LichSuSuCo.maSuCo</t>
  </si>
  <si>
    <t xml:space="preserve">D6</t>
  </si>
  <si>
    <t xml:space="preserve">Được thuê</t>
  </si>
  <si>
    <t xml:space="preserve">Mỗi lúc tối đa 1 HĐ hiệu lực (BR-CT-03)</t>
  </si>
  <si>
    <t xml:space="preserve">HopDong.maPhong</t>
  </si>
  <si>
    <t xml:space="preserve">D7</t>
  </si>
  <si>
    <t xml:space="preserve">Được kiểm tra</t>
  </si>
  <si>
    <t xml:space="preserve">Tài sản được kiểm tra mỗi lần bàn giao</t>
  </si>
  <si>
    <t xml:space="preserve">BanGiaoTaiSan.maTaiSan</t>
  </si>
  <si>
    <t xml:space="preserve">D8</t>
  </si>
  <si>
    <t xml:space="preserve">Áp cho</t>
  </si>
  <si>
    <t xml:space="preserve">Khoản phí dịch vụ được áp cho HĐ</t>
  </si>
  <si>
    <t xml:space="preserve">HopDongDichVu.maKhoan</t>
  </si>
  <si>
    <t xml:space="preserve">D9</t>
  </si>
  <si>
    <t xml:space="preserve">Đăng ký</t>
  </si>
  <si>
    <t xml:space="preserve">HĐ áp dụng các phí dịch vụ</t>
  </si>
  <si>
    <t xml:space="preserve">HopDongDichVu.maHopDong</t>
  </si>
  <si>
    <t xml:space="preserve">D10</t>
  </si>
  <si>
    <t xml:space="preserve">Bàn giao</t>
  </si>
  <si>
    <t xml:space="preserve">Bàn giao tài sản khi nhận / trả phòng</t>
  </si>
  <si>
    <t xml:space="preserve">BanGiaoTaiSan.maHopDong</t>
  </si>
  <si>
    <t xml:space="preserve">D11</t>
  </si>
  <si>
    <t xml:space="preserve">Đứng tên</t>
  </si>
  <si>
    <t xml:space="preserve">Khách đứng tên HĐ (thuê lại → nhiều HĐ)</t>
  </si>
  <si>
    <t xml:space="preserve">HopDong.maKhach</t>
  </si>
  <si>
    <t xml:space="preserve">D12</t>
  </si>
  <si>
    <t xml:space="preserve">Khai báo</t>
  </si>
  <si>
    <t xml:space="preserve">HĐ khai báo người ở cùng</t>
  </si>
  <si>
    <t xml:space="preserve">NguoiO.maHopDong</t>
  </si>
  <si>
    <t xml:space="preserve">D13</t>
  </si>
  <si>
    <t xml:space="preserve">Thay đổi</t>
  </si>
  <si>
    <t xml:space="preserve">HĐ có lịch sử gia hạn / điều chỉnh</t>
  </si>
  <si>
    <t xml:space="preserve">LichSuHopDong.maHopDong</t>
  </si>
  <si>
    <t xml:space="preserve">D14</t>
  </si>
  <si>
    <t xml:space="preserve">0..1</t>
  </si>
  <si>
    <t xml:space="preserve">Truy cập</t>
  </si>
  <si>
    <t xml:space="preserve">Tài khoản khách cấp cho phòng theo HĐ</t>
  </si>
  <si>
    <t xml:space="preserve">HopDong.maTaiKhoan</t>
  </si>
  <si>
    <t xml:space="preserve">D15</t>
  </si>
  <si>
    <t xml:space="preserve">Quyết toán</t>
  </si>
  <si>
    <t xml:space="preserve">HĐ được quyết toán khi trả phòng</t>
  </si>
  <si>
    <t xml:space="preserve">QuyetToan.maHopDong (UK)</t>
  </si>
  <si>
    <t xml:space="preserve">D16</t>
  </si>
  <si>
    <t xml:space="preserve">Ghi chỉ số</t>
  </si>
  <si>
    <t xml:space="preserve">Chỉ số điện nước ghi theo HĐ</t>
  </si>
  <si>
    <t xml:space="preserve">ChiSo.maHopDong</t>
  </si>
  <si>
    <t xml:space="preserve">D17</t>
  </si>
  <si>
    <t xml:space="preserve">Lập</t>
  </si>
  <si>
    <t xml:space="preserve">HĐ có các thông báo tiền</t>
  </si>
  <si>
    <t xml:space="preserve">ThongBaoTien.maHopDong</t>
  </si>
  <si>
    <t xml:space="preserve">D18</t>
  </si>
  <si>
    <t xml:space="preserve">Gồm</t>
  </si>
  <si>
    <t xml:space="preserve">Quyết toán gồm các dòng hoàn / trừ</t>
  </si>
  <si>
    <t xml:space="preserve">DongQuyetToan.maQuyetToan</t>
  </si>
  <si>
    <t xml:space="preserve">D19</t>
  </si>
  <si>
    <t xml:space="preserve">Hoàn cọc</t>
  </si>
  <si>
    <t xml:space="preserve">Số dương → phiếu chi hoàn cọc</t>
  </si>
  <si>
    <t xml:space="preserve">PhieuChi.maQuyetToan</t>
  </si>
  <si>
    <t xml:space="preserve">D20</t>
  </si>
  <si>
    <t xml:space="preserve">Thu thêm</t>
  </si>
  <si>
    <t xml:space="preserve">Số âm → thông báo thu thêm</t>
  </si>
  <si>
    <t xml:space="preserve">ThongBaoTien.maQuyetToan</t>
  </si>
  <si>
    <t xml:space="preserve">D21</t>
  </si>
  <si>
    <t xml:space="preserve">Tính tiền</t>
  </si>
  <si>
    <t xml:space="preserve">Dòng điện / nước tham chiếu chỉ số</t>
  </si>
  <si>
    <t xml:space="preserve">DongThongBaoTien.maChiSo</t>
  </si>
  <si>
    <t xml:space="preserve">D22</t>
  </si>
  <si>
    <t xml:space="preserve">Thông báo gồm các dòng khoản thu</t>
  </si>
  <si>
    <t xml:space="preserve">DongThongBaoTien.maThongBaoTien</t>
  </si>
  <si>
    <t xml:space="preserve">D23</t>
  </si>
  <si>
    <t xml:space="preserve">Tính phí</t>
  </si>
  <si>
    <t xml:space="preserve">Phí phát sinh do khách gây sự cố</t>
  </si>
  <si>
    <t xml:space="preserve">DongThongBaoTien.maSuCo</t>
  </si>
  <si>
    <t xml:space="preserve">D24</t>
  </si>
  <si>
    <t xml:space="preserve">Được báo</t>
  </si>
  <si>
    <t xml:space="preserve">Khách báo đã chuyển khoản cho thông báo</t>
  </si>
  <si>
    <t xml:space="preserve">BaoThanhToan.maThongBaoTien</t>
  </si>
  <si>
    <t xml:space="preserve">D25</t>
  </si>
  <si>
    <t xml:space="preserve">Được thu</t>
  </si>
  <si>
    <t xml:space="preserve">Thông báo được thu qua một/nhiều phiếu thu</t>
  </si>
  <si>
    <t xml:space="preserve">PhieuThu.maThongBaoTien</t>
  </si>
  <si>
    <t xml:space="preserve">D26</t>
  </si>
  <si>
    <t xml:space="preserve">Xác nhận</t>
  </si>
  <si>
    <t xml:space="preserve">Xác nhận báo chuyển khoản sinh phiếu thu</t>
  </si>
  <si>
    <t xml:space="preserve">PhieuThu.maBaoTT</t>
  </si>
  <si>
    <t xml:space="preserve">D27</t>
  </si>
  <si>
    <t xml:space="preserve">Thực hiện</t>
  </si>
  <si>
    <t xml:space="preserve">Tài khoản thực hiện thao tác</t>
  </si>
  <si>
    <t xml:space="preserve">NhatKyThaoTac.maTaiKhoan</t>
  </si>
  <si>
    <t xml:space="preserve">D28</t>
  </si>
  <si>
    <t xml:space="preserve">Nhận</t>
  </si>
  <si>
    <t xml:space="preserve">Tài khoản nhận thông báo</t>
  </si>
  <si>
    <t xml:space="preserve">ThongBaoNguoiNhan.maTaiKhoan</t>
  </si>
  <si>
    <t xml:space="preserve">D29</t>
  </si>
  <si>
    <t xml:space="preserve">Gửi đến</t>
  </si>
  <si>
    <t xml:space="preserve">Thông báo gửi đến người nhận</t>
  </si>
  <si>
    <t xml:space="preserve">ThongBaoNguoiNhan.maThongBao</t>
  </si>
  <si>
    <t xml:space="preserve">D30</t>
  </si>
  <si>
    <t xml:space="preserve">Được cấp tài khoản</t>
  </si>
  <si>
    <t xml:space="preserve">Người ở cùng được chọn cấp tài khoản cho phòng (P01 Ngoại lệ)</t>
  </si>
  <si>
    <t xml:space="preserve">HopDong.maNguoiOCapTK</t>
  </si>
  <si>
    <t xml:space="preserve">D31</t>
  </si>
  <si>
    <t xml:space="preserve">Điều chỉnh cho</t>
  </si>
  <si>
    <t xml:space="preserve">Dòng DIEU_CHINH tham chiếu thông báo đã thu bị sửa sai (BR-HD-04)</t>
  </si>
  <si>
    <t xml:space="preserve">DongThongBaoTien.maThongBaoTienGoc</t>
  </si>
  <si>
    <t xml:space="preserve">6. CHUYỂN TRẠNG THÁI</t>
  </si>
  <si>
    <t xml:space="preserve">Chuyển trạng thái không có trong bảng → phải bị chặn (ném lỗi nghiệp vụ).</t>
  </si>
  <si>
    <t xml:space="preserve">Từ trạng thái</t>
  </si>
  <si>
    <t xml:space="preserve">Đến trạng thái</t>
  </si>
  <si>
    <t xml:space="preserve">Phương thức / sự kiện</t>
  </si>
  <si>
    <t xml:space="preserve">Điều kiện</t>
  </si>
  <si>
    <t xml:space="preserve">(tạo mới)</t>
  </si>
  <si>
    <t xml:space="preserve">Phong (tạo)</t>
  </si>
  <si>
    <t xml:space="preserve">HopDong.xacNhanNhanPhong()</t>
  </si>
  <si>
    <t xml:space="preserve">Do hệ thống</t>
  </si>
  <si>
    <t xml:space="preserve">HopDong.thanhLy()</t>
  </si>
  <si>
    <t xml:space="preserve">Phong.chuyenTrangThai()</t>
  </si>
  <si>
    <t xml:space="preserve">Không có HĐ chưa thanh lý</t>
  </si>
  <si>
    <t xml:space="preserve">(đã xóa)</t>
  </si>
  <si>
    <t xml:space="preserve">Phong.xoa()</t>
  </si>
  <si>
    <t xml:space="preserve">Chưa từng có HĐ (BR-DM-03)</t>
  </si>
  <si>
    <t xml:space="preserve">Bổ sung ver1.4</t>
  </si>
  <si>
    <t xml:space="preserve">HopDong.taoMoi()</t>
  </si>
  <si>
    <t xml:space="preserve">HopDong.xacNhanNhanPhong(lyDo)</t>
  </si>
  <si>
    <t xml:space="preserve">Đã thu đủ tiền ký HĐ hoặc có lý do (BR-CT-05)</t>
  </si>
  <si>
    <t xml:space="preserve">giaHan() / dieuChinhGia() / baoTraPhong()</t>
  </si>
  <si>
    <t xml:space="preserve">Ghi LichSuHopDong; báo trả chỉ gắn nhãn Sắp trả</t>
  </si>
  <si>
    <t xml:space="preserve">Chủ nhà, Khách</t>
  </si>
  <si>
    <t xml:space="preserve">QuyetToan = HOAN_TAT</t>
  </si>
  <si>
    <t xml:space="preserve">lapThongBaoHangLoat() / lapThongBaoKyHopDong()</t>
  </si>
  <si>
    <t xml:space="preserve">Đủ chỉ số (BR-HD-02)</t>
  </si>
  <si>
    <t xml:space="preserve">phatHanh()</t>
  </si>
  <si>
    <t xml:space="preserve">DA_PHAT_HANH / DA_THU_MOT_PHAN</t>
  </si>
  <si>
    <t xml:space="preserve">danhDauQuaHan()</t>
  </si>
  <si>
    <t xml:space="preserve">Ngày hiện tại &gt; hanThanhToan</t>
  </si>
  <si>
    <t xml:space="preserve">Chưa thu đủ (DA_PHAT_HANH / QUA_HAN / DA_THU_MOT_PHAN)</t>
  </si>
  <si>
    <t xml:space="preserve">BaoThanhToan.guiBao()</t>
  </si>
  <si>
    <t xml:space="preserve">Khách</t>
  </si>
  <si>
    <t xml:space="preserve">Trạng thái trước khi báo</t>
  </si>
  <si>
    <t xml:space="preserve">BaoThanhToan.tuChoi(lyDo)</t>
  </si>
  <si>
    <t xml:space="preserve">Chưa thấy tiền</t>
  </si>
  <si>
    <t xml:space="preserve">DA_THU_DU / DA_THU_MOT_PHAN</t>
  </si>
  <si>
    <t xml:space="preserve">BaoThanhToan.xacNhan() → capNhatTrangThaiThu()</t>
  </si>
  <si>
    <t xml:space="preserve">đủ: soDaThu ≥ tongTien; thiếu: 0 &lt; soDaThu &lt; tongTien</t>
  </si>
  <si>
    <t xml:space="preserve">ghiNhanThu() → capNhatTrangThaiThu()</t>
  </si>
  <si>
    <t xml:space="preserve">Chủ nhà ghi nhận thu trực tiếp (tiền mặt hoặc chuyển khoản không qua báo CK)</t>
  </si>
  <si>
    <t xml:space="preserve">DA_PHAT_HANH / QUA_HAN</t>
  </si>
  <si>
    <t xml:space="preserve">huy(lyDo)</t>
  </si>
  <si>
    <t xml:space="preserve">soDaThu = 0 (BR-HD-04)</t>
  </si>
  <si>
    <t xml:space="preserve">guiBao()</t>
  </si>
  <si>
    <t xml:space="preserve">Ghi chú State Diagram v1.3</t>
  </si>
  <si>
    <t xml:space="preserve">xacNhan()</t>
  </si>
  <si>
    <t xml:space="preserve">tuChoi(lyDo)</t>
  </si>
  <si>
    <t xml:space="preserve">Có lý do</t>
  </si>
  <si>
    <t xml:space="preserve">xacNhan() / ghiNhanThu()</t>
  </si>
  <si>
    <t xml:space="preserve">Có lý do (BR-TT-02)</t>
  </si>
  <si>
    <t xml:space="preserve">baoSuCo()</t>
  </si>
  <si>
    <t xml:space="preserve">tiepNhan(lichHen)</t>
  </si>
  <si>
    <t xml:space="preserve">Có lý do (BR-SC-02)</t>
  </si>
  <si>
    <t xml:space="preserve">hoanThanh()</t>
  </si>
  <si>
    <t xml:space="preserve">moLai()</t>
  </si>
  <si>
    <t xml:space="preserve">Chưa khắc phục; không phản hồi thì giữ DA_XU_LY</t>
  </si>
  <si>
    <t xml:space="preserve">tinhQuyetToan()</t>
  </si>
  <si>
    <t xml:space="preserve">guiKhach()</t>
  </si>
  <si>
    <t xml:space="preserve">Chủ nhà đã rà soát</t>
  </si>
  <si>
    <t xml:space="preserve">khachPhanHoi(true) / chotQuyetToan(lyDo)</t>
  </si>
  <si>
    <t xml:space="preserve">Khách đồng ý, hoặc không phản hồi → chủ nhà chốt kèm lý do</t>
  </si>
  <si>
    <t xml:space="preserve">Khách, Chủ nhà</t>
  </si>
  <si>
    <t xml:space="preserve">khachPhanHoi(false, yKien)</t>
  </si>
  <si>
    <t xml:space="preserve">Có ý kiến của khách</t>
  </si>
  <si>
    <t xml:space="preserve">themKhoanTru() → guiKhach()</t>
  </si>
  <si>
    <t xml:space="preserve">Điều chỉnh, ghi lý do (BR-TL-03)</t>
  </si>
  <si>
    <t xml:space="preserve">chotQuyetToan(lyDo)</t>
  </si>
  <si>
    <t xml:space="preserve">Có lý do (BR-TL-03)</t>
  </si>
  <si>
    <t xml:space="preserve">lapPhieuChi() / lapThongBaoThuThem()</t>
  </si>
  <si>
    <t xml:space="preserve">taoTaiKhoanKhach()</t>
  </si>
  <si>
    <t xml:space="preserve">phaiDoiMatKhau = true</t>
  </si>
  <si>
    <t xml:space="preserve">dangNhap() sai lần 5</t>
  </si>
  <si>
    <t xml:space="preserve">khoaDenLuc = now + 15 phút (giả định)</t>
  </si>
  <si>
    <t xml:space="preserve">Hết khoaDenLuc / datLaiMatKhau()</t>
  </si>
  <si>
    <t xml:space="preserve">Hệ thống, Chủ nhà</t>
  </si>
  <si>
    <t xml:space="preserve">HOAT_DONG / KHOA_TAM</t>
  </si>
  <si>
    <t xml:space="preserve">khoa()</t>
  </si>
  <si>
    <t xml:space="preserve">Thanh lý HĐ hoặc chủ nhà khóa</t>
  </si>
  <si>
    <t xml:space="preserve">moKhoa()</t>
  </si>
  <si>
    <t xml:space="preserve">Khách thuê lại</t>
  </si>
  <si>
    <t xml:space="preserve">7. QUY TẮC NGHIỆP VỤ</t>
  </si>
  <si>
    <t xml:space="preserve">Nội dung (nguyên văn Mô tả YC)</t>
  </si>
  <si>
    <t xml:space="preserve">Áp dụng tại lớp / phương thức</t>
  </si>
  <si>
    <t xml:space="preserve">Đổi đơn giá điện, nước áp dụng cho các thông báo lập sau thời điểm đổi; thông báo đã phát hành không bị tính lại.</t>
  </si>
  <si>
    <t xml:space="preserve">BangGia.doiDonGia, BangGia.layDonGiaTai</t>
  </si>
  <si>
    <t xml:space="preserve">Đổi giá niêm yết của phòng không làm thay đổi giá trên hợp đồng đang hiệu lực.</t>
  </si>
  <si>
    <t xml:space="preserve">Phong.capNhatGiaNiemYet</t>
  </si>
  <si>
    <t xml:space="preserve">Không xóa phòng đã có hợp đồng; chỉ chuyển sang Ngừng khai thác.</t>
  </si>
  <si>
    <t xml:space="preserve">Phong.coTheXoa, Phong.xoa</t>
  </si>
  <si>
    <t xml:space="preserve">Trạng thái Trống ↔ Đang thuê do hệ thống tự cập nhật khi nhận phòng và thanh lý; chủ nhà chỉ tự chuyển giữa Trống và Ngừng khai thác.</t>
  </si>
  <si>
    <t xml:space="preserve">Phong.chuyenTrangThai</t>
  </si>
  <si>
    <t xml:space="preserve">SĐT là tên đăng nhập của khách, duy nhất trong hệ thống; mỗi phòng có một tài khoản khách.</t>
  </si>
  <si>
    <t xml:space="preserve">TaiKhoan.tenDangNhap, TaiKhoan.taoTaiKhoanKhach, HopDong.maNguoiOCapTK</t>
  </si>
  <si>
    <t xml:space="preserve">Thời hạn hợp đồng tối thiểu 3 tháng; hệ thống chặn lưu hợp đồng ngắn hơn.</t>
  </si>
  <si>
    <t xml:space="preserve">HopDong.kiemTraThoiHan, HopDong.giaHan</t>
  </si>
  <si>
    <t xml:space="preserve">Mỗi phòng chỉ có một hợp đồng hiệu lực tại một thời điểm.</t>
  </si>
  <si>
    <t xml:space="preserve">HopDong.taoMoi, Phong.layHopDongHieuLuc</t>
  </si>
  <si>
    <t xml:space="preserve">Tổng số người ở (người đứng tên và người ở cùng) không vượt số người tối đa của phòng.</t>
  </si>
  <si>
    <t xml:space="preserve">Phong.kiemTraSoNguoi, HopDong.themNguoiO</t>
  </si>
  <si>
    <t xml:space="preserve">BR-CT-05</t>
  </si>
  <si>
    <t xml:space="preserve">Không xác nhận nhận phòng khi thông báo tiền ký hợp đồng chưa thu đủ, trừ khi chủ nhà ghi lý do.</t>
  </si>
  <si>
    <t xml:space="preserve">HopDong.xacNhanNhanPhong</t>
  </si>
  <si>
    <t xml:space="preserve">Ảnh CCCD chỉ chủ nhà xem; khách chỉ xem hồ sơ của phòng mình. Hồ sơ khách giữ lại sau khi trả phòng để nhận diện khách thuê lại.</t>
  </si>
  <si>
    <t xml:space="preserve">KhachThue, phân quyền</t>
  </si>
  <si>
    <t xml:space="preserve">BR-HD-01</t>
  </si>
  <si>
    <t xml:space="preserve">Mỗi phòng mỗi tháng một thông báo tiền chính; phí phát sinh giữa tháng cộng vào thông báo cuối tháng.</t>
  </si>
  <si>
    <t xml:space="preserve">DichVuThongBaoTien.lapThongBaoHangLoat</t>
  </si>
  <si>
    <t xml:space="preserve">Phòng thiếu chỉ số không lập được thông báo; hệ thống không ước tính điện, nước.</t>
  </si>
  <si>
    <t xml:space="preserve">DichVuThongBaoTien.lapThongBaoHangLoat, ThongBaoTien.phatHanh</t>
  </si>
  <si>
    <t xml:space="preserve">Tiền phòng chỉ tính cho các ngày nằm trong thời hạn hợp đồng; hợp đồng hết hạn trong tháng kế tiếp mà chưa gia hạn thì tính đến ngày hết hạn và cảnh báo chủ nhà trước khi phát hành.</t>
  </si>
  <si>
    <t xml:space="preserve">HopDong.tinhTienPhong, ThongBaoTien.phatHanh</t>
  </si>
  <si>
    <t xml:space="preserve">Không sửa thông báo đã phát hành. Chưa thu → hủy và lập lại; đã thu → ghi điều chỉnh vào tháng sau.</t>
  </si>
  <si>
    <t xml:space="preserve">ThongBaoTien.huy, ThongBaoTien.themDong (DIEU_CHINH), DongThongBaoTien.maThongBaoTienGoc</t>
  </si>
  <si>
    <t xml:space="preserve">Làm tròn ở tổng thông báo đến 1.000 đ, không làm tròn từng dòng.</t>
  </si>
  <si>
    <t xml:space="preserve">ThongBaoTien.tinhTong, DongThongBaoTien.tinhThanhTien</t>
  </si>
  <si>
    <t xml:space="preserve">Thông báo tiền và phiếu thu là chứng từ quản lý nội bộ, không phải hóa đơn điện tử.</t>
  </si>
  <si>
    <t xml:space="preserve">PhieuThu.xuatPDF</t>
  </si>
  <si>
    <t xml:space="preserve">Hệ thống không thu hộ, không giữ tiền, không thanh toán thẻ.</t>
  </si>
  <si>
    <t xml:space="preserve">ToaNha, BaoThanhToan</t>
  </si>
  <si>
    <t xml:space="preserve">Phiếu thu đánh số liên tục, không xóa; hủy phiếu phải ghi lý do.</t>
  </si>
  <si>
    <t xml:space="preserve">PhieuThu.sinhSoPhieu, PhieuThu.huy, ThongBaoTien.ghiNhanThu</t>
  </si>
  <si>
    <t xml:space="preserve">Thông báo thu chưa đủ khi lập thông báo tháng sau: phần còn thiếu tự chuyển vào mục Nợ cũ của tháng sau. Khách trả thừa: chủ nhà ghi phần thừa thành giảm trừ ở tháng sau.</t>
  </si>
  <si>
    <t xml:space="preserve">DichVuThongBaoTien.lapThongBaoHangLoat, ThongBaoTien.noCu</t>
  </si>
  <si>
    <t xml:space="preserve">Tiền cọc theo dõi riêng, chỉ cấn trừ khi quyết toán trả phòng.</t>
  </si>
  <si>
    <t xml:space="preserve">HopDong.tienCoc, QuyetToan</t>
  </si>
  <si>
    <t xml:space="preserve">Trả trước ngày hết hạn hợp đồng → áp mức phạt ghi trên hợp đồng (nhập khi lưu hợp đồng ở P01).</t>
  </si>
  <si>
    <t xml:space="preserve">HopDong.baoTraPhong, QuyetToan.tinhQuyetToan</t>
  </si>
  <si>
    <t xml:space="preserve">Mỗi khoản trừ cọc phải có ghi chú và ảnh làm bằng chứng.</t>
  </si>
  <si>
    <t xml:space="preserve">DongQuyetToan.coBangChung, QuyetToan.themKhoanTru, QuyetToan.suaKhoanTru</t>
  </si>
  <si>
    <t xml:space="preserve">Khách phản hồi quyết toán trên hệ thống. Không đồng ý: chủ nhà điều chỉnh rồi gửi lại, hoặc chốt kèm lý do; khách không phản hồi: chủ nhà chốt, ghi lý do.</t>
  </si>
  <si>
    <t xml:space="preserve">QuyetToan.khachPhanHoi, QuyetToan.guiKhach, QuyetToan.chotQuyetToan, QuyetToan.suaKhoanTru, QuyetToan.xoaKhoanTru</t>
  </si>
  <si>
    <t xml:space="preserve">Mỗi sự cố gắn với một phòng; khách chỉ xem sự cố của phòng mình.</t>
  </si>
  <si>
    <t xml:space="preserve">SuCo.maPhong, phân quyền</t>
  </si>
  <si>
    <t xml:space="preserve">Từ chối sự cố phải ghi lý do.</t>
  </si>
  <si>
    <t xml:space="preserve">SuCo.tuChoi</t>
  </si>
  <si>
    <t xml:space="preserve">Phí phát sinh từ sự cố chỉ được cộng vào thông báo tiền khi chủ nhà ghi rõ nguyên nhân do khách.</t>
  </si>
  <si>
    <t xml:space="preserve">SuCo.tinhPhiChoKhach</t>
  </si>
  <si>
    <t xml:space="preserve">Đăng nhập SĐT + mật khẩu băm; khóa tạm sau 5 lần sai; mọi truy vấn của khách lọc theo phòng đang thuê ở tầng dữ liệu; ảnh CCCD ở thư mục không công khai; nhật ký thao tác cho HĐ, thông báo tiền, phiếu thu, chỉ số, xuất tạm trú; chủ nhà tra cứu nhật ký (UC01.09), nhật ký chỉ thêm, không sửa, xóa; sao lưu CSDL hằng ngày.</t>
  </si>
  <si>
    <t xml:space="preserve">TaiKhoan, NhatKyThaoTac, tầng truy cập dữ liệu</t>
  </si>
  <si>
    <t xml:space="preserve">8. PHÂN QUYỀN THEO VAI TRÒ</t>
  </si>
  <si>
    <t xml:space="preserve">Bộ hẹn giờ hệ thống chạy với quyền hệ thống (không đăng nhập).</t>
  </si>
  <si>
    <t xml:space="preserve">Dữ liệu, chức năng</t>
  </si>
  <si>
    <t xml:space="preserve">Tòa, phòng, bảng giá</t>
  </si>
  <si>
    <t xml:space="preserve">Toàn quyền</t>
  </si>
  <si>
    <t xml:space="preserve">Xem nội quy tòa, phòng mình, bảng giá áp dụng và thông tin liên hệ chủ nhà</t>
  </si>
  <si>
    <t xml:space="preserve">Hồ sơ khách, CCCD</t>
  </si>
  <si>
    <t xml:space="preserve">Xem hồ sơ phòng mình (không xem ảnh CCCD)</t>
  </si>
  <si>
    <t xml:space="preserve">Hợp đồng</t>
  </si>
  <si>
    <t xml:space="preserve">Xem hợp đồng của mình</t>
  </si>
  <si>
    <t xml:space="preserve">Thông báo tiền, phiếu thu</t>
  </si>
  <si>
    <t xml:space="preserve">Lập, phát hành, xác nhận đã thu, ghi nhận thu trực tiếp (tiền mặt / chuyển khoản không qua báo CK), từ chối báo chuyển khoản, hủy thông báo tiền, hủy phiếu thu</t>
  </si>
  <si>
    <t xml:space="preserve">Xem, tải phiếu thu, báo đã chuyển khoản; nhận thông báo khi bị từ chối</t>
  </si>
  <si>
    <t xml:space="preserve">Tiếp nhận, xử lý, từ chối</t>
  </si>
  <si>
    <t xml:space="preserve">Tạo, theo dõi, mở lại</t>
  </si>
  <si>
    <t xml:space="preserve">Báo trả, quyết toán</t>
  </si>
  <si>
    <t xml:space="preserve">Xử lý, lập quyết toán (thêm / sửa / xóa khoản trừ), xem / in phiếu chi</t>
  </si>
  <si>
    <t xml:space="preserve">Báo trả, xem và phản hồi quyết toán</t>
  </si>
  <si>
    <t xml:space="preserve">Thông báo chung, báo cáo, xuất tạm trú</t>
  </si>
  <si>
    <t xml:space="preserve">Xem thông báo</t>
  </si>
  <si>
    <t xml:space="preserve">Tạo (khi nhận phòng, khi khởi tạo dữ liệu, cho HĐ hiệu lực chưa có tài khoản; chọn người được cấp), khóa, đặt lại mật khẩu khách</t>
  </si>
  <si>
    <t xml:space="preserve">Đổi mật khẩu của mình</t>
  </si>
  <si>
    <t xml:space="preserve">Tra cứu (chỉ xem)</t>
  </si>
  <si>
    <t xml:space="preserve">Không có quyền</t>
  </si>
  <si>
    <t xml:space="preserve">9. VÍ DỤ TÍNH TIỀN – DÙNG LÀM TEST CASE</t>
  </si>
  <si>
    <t xml:space="preserve">Nguồn: Mô tả YC mục 4 (P02) và mục 7 (P05). Ô chữ xanh = đầu vào; cột 'Kỳ vọng' là số in trong tài liệu.</t>
  </si>
  <si>
    <t xml:space="preserve">ĐẦU VÀO</t>
  </si>
  <si>
    <t xml:space="preserve">Internet (VNĐ/tháng)</t>
  </si>
  <si>
    <t xml:space="preserve">Ngày bắt đầu HĐ</t>
  </si>
  <si>
    <t xml:space="preserve">Ngày hết hạn HĐ</t>
  </si>
  <si>
    <t xml:space="preserve">Trường hợp</t>
  </si>
  <si>
    <t xml:space="preserve">Số ngày ở</t>
  </si>
  <si>
    <t xml:space="preserve">Số ngày của tháng</t>
  </si>
  <si>
    <t xml:space="preserve">Thành tiền (công thức)</t>
  </si>
  <si>
    <t xml:space="preserve">Kỳ vọng theo tài liệu</t>
  </si>
  <si>
    <t xml:space="preserve">Khớp?</t>
  </si>
  <si>
    <t xml:space="preserve">Tiền phòng khi ký HĐ (16–31/10/2026)</t>
  </si>
  <si>
    <t xml:space="preserve">Internet tháng 10/2026</t>
  </si>
  <si>
    <t xml:space="preserve">Tiền phòng 1–15/04/2027 (chưa gia hạn)</t>
  </si>
  <si>
    <t xml:space="preserve">Internet tháng 4/2027 đến ngày trả</t>
  </si>
  <si>
    <t xml:space="preserve">Tiền phòng tháng đủ (vd 11/2026)</t>
  </si>
  <si>
    <t xml:space="preserve">Thông báo khi ký HĐ (cọc + tiền phòng tháng đầu)</t>
  </si>
  <si>
    <t xml:space="preserve">Tổng chưa làm tròn</t>
  </si>
  <si>
    <t xml:space="preserve">Tổng làm tròn 1.000 đ (BR-HD-05, giả định half-up)</t>
  </si>
  <si>
    <t xml:space="preserve">Ghi chú: ROUND(…, -3) trong Excel là làm tròn half-up đến hàng nghìn. Nếu chủ nhà muốn làm tròn xuống, đổi thành ROUNDDOWN và cập nhật ThongBaoTien.tinhTong().</t>
  </si>
  <si>
    <t xml:space="preserve">CÔNG THỨC NGHIỆP VỤ</t>
  </si>
  <si>
    <t xml:space="preserve">• Thông báo cuối tháng T: Tổng = điện, nước tháng T + phí dịch vụ tháng T + tiền phòng tháng T+1 + phí phát sinh + nợ cũ − giảm trừ (làm tròn tổng đến 1.000 đ).</t>
  </si>
  <si>
    <t xml:space="preserve">• Điện = (chỉ số cuối − chỉ số đầu) × đơn giá điện, không bậc thang. Nước = (chỉ số cuối − chỉ số đầu) × đơn giá nước; không có công tơ riêng → số người × đơn giá/người/tháng × tỷ lệ ngày ở.</t>
  </si>
  <si>
    <t xml:space="preserve">• Tỷ lệ ngày ở = số ngày ở / số ngày của tháng dương lịch; tính ngày nhận phòng, không tính ngày trả phòng.</t>
  </si>
  <si>
    <t xml:space="preserve">• Quyết toán: Số hoàn = cọc + tiền phòng đã thu cho các ngày chưa ở − điện, nước, phí dịch vụ đến ngày trả − nợ chưa trả − bồi thường hư hỏng − phạt trả trước hạn (nếu có). &gt;0 → phiếu chi; &lt;0 → thông báo thu thêm.</t>
  </si>
  <si>
    <t xml:space="preserve">• Ví dụ trả phòng 16/04/2027 đúng hạn: số hoàn = 3.000.000 − điện, nước 1–15/04 − 50.000 đ internet − bồi thường (nếu có); không có hoàn tiền phòng.</t>
  </si>
  <si>
    <t xml:space="preserve">Sheet</t>
  </si>
  <si>
    <t xml:space="preserve">Căn cứ (Sidebar v1.3)</t>
  </si>
  <si>
    <t xml:space="preserve">3</t>
  </si>
  <si>
    <t xml:space="preserve">ThongBaoTien.thuTienMat → ghiNhanThu</t>
  </si>
  <si>
    <t xml:space="preserve">Đổi tên, thêm tham số hinhThuc, ngayThu; cho phép ghi nhận chuyển khoản không qua báo CK; chặn khi đang CHO_XAC_NHAN</t>
  </si>
  <si>
    <t xml:space="preserve">CN-05.03, CN-03.03 · TT.THU_TRUC_TIEP</t>
  </si>
  <si>
    <t xml:space="preserve">2, 3, 5</t>
  </si>
  <si>
    <t xml:space="preserve">HopDong.maNguoiOCapTK · TaiKhoan.taoTaiKhoanKhach · HopDong.xacNhanNhanPhong</t>
  </si>
  <si>
    <t xml:space="preserve">Thuộc tính mới (FK NguoiO, quan hệ D30); tham số người được cấp tài khoản; NguoiO.soDienThoai bắt buộc khi được cấp</t>
  </si>
  <si>
    <t xml:space="preserve">CN-03.03 · TK_KHACH.TAO</t>
  </si>
  <si>
    <t xml:space="preserve">DichVuKhoiTao.nhapDuLieuDangVanHanh</t>
  </si>
  <si>
    <t xml:space="preserve">Thêm dsNguoiO, dsDichVu; tạo tài khoản khách cho từng HĐ, trả danh sách mật khẩu tạm</t>
  </si>
  <si>
    <t xml:space="preserve">CN-09.04, CN-09.03</t>
  </si>
  <si>
    <t xml:space="preserve">3, 6, 7</t>
  </si>
  <si>
    <t xml:space="preserve">Phong.xoa (mới)</t>
  </si>
  <si>
    <t xml:space="preserve">Xóa phòng chưa từng có HĐ; thêm dòng chuyển trạng thái; BR-DM-03</t>
  </si>
  <si>
    <t xml:space="preserve">CN-02.01 · PHONG.XOA</t>
  </si>
  <si>
    <t xml:space="preserve">2, 3, 5, 7</t>
  </si>
  <si>
    <t xml:space="preserve">DongThongBaoTien.maThongBaoTienGoc · ThongBaoTien.themDong</t>
  </si>
  <si>
    <t xml:space="preserve">Dòng DIEU_CHINH phải tham chiếu thông báo đã thu (quan hệ D31); BR-HD-04</t>
  </si>
  <si>
    <t xml:space="preserve">CN-05.02 · TBT.PHI_PHAT_SINH</t>
  </si>
  <si>
    <t xml:space="preserve">3, 7</t>
  </si>
  <si>
    <t xml:space="preserve">QuyetToan.suaKhoanTru, xoaKhoanTru (mới)</t>
  </si>
  <si>
    <t xml:space="preserve">Sửa / xóa khoản trừ khi Nháp hoặc khách không đồng ý, ghi lý do</t>
  </si>
  <si>
    <t xml:space="preserve">CN-04.02 · QT.LAP</t>
  </si>
  <si>
    <t xml:space="preserve">QuyetToan.lapPhieuChi</t>
  </si>
  <si>
    <t xml:space="preserve">Ghi nhật ký; xem / in phiếu chi</t>
  </si>
  <si>
    <t xml:space="preserve">CN-04.02 · QT.PHIEU_CHI</t>
  </si>
  <si>
    <t xml:space="preserve">2, 3</t>
  </si>
  <si>
    <t xml:space="preserve">HopDong.daThuHoiChiaKhoa · xacNhanThuHoiChiaKhoa (mới) · thanhLy</t>
  </si>
  <si>
    <t xml:space="preserve">Xác nhận thu hồi chìa khóa khi kiểm tra phòng; thanh lý cảnh báo nếu chưa thu hồi</t>
  </si>
  <si>
    <t xml:space="preserve">CN-04.01 · TRA.KIEM_TRA</t>
  </si>
  <si>
    <t xml:space="preserve">ToaNha.capNhatTaiKhoanNhanTien</t>
  </si>
  <si>
    <t xml:space="preserve">Thêm tham số diaChiChuNha; tên, SĐT chủ nhà hiện cho khách</t>
  </si>
  <si>
    <t xml:space="preserve">CN-09.02, KT-01.01</t>
  </si>
  <si>
    <t xml:space="preserve">DichVuViecCanLam.layDanhSach</t>
  </si>
  <si>
    <t xml:space="preserve">Thêm "yêu cầu trả phòng mới" cho khớp CN-01.01</t>
  </si>
  <si>
    <t xml:space="preserve">CN-01.01</t>
  </si>
  <si>
    <t xml:space="preserve">ThongBaoTien.phatHanh</t>
  </si>
  <si>
    <t xml:space="preserve">Tác nhân Chủ nhà, Hệ thống (gọi từ phát hành hàng loạt / tự phát hành thông báo ký HĐ, thu thêm)</t>
  </si>
  <si>
    <t xml:space="preserve">CN-05.02 · TBT.PHAT_HANH</t>
  </si>
  <si>
    <t xml:space="preserve">2</t>
  </si>
  <si>
    <t xml:space="preserve">NhatKyThaoTac.doiTuong</t>
  </si>
  <si>
    <t xml:space="preserve">Thêm Phong, PhieuChi vào miền giá trị</t>
  </si>
  <si>
    <t xml:space="preserve">PHONG.XOA, QT.PHIEU_CHI</t>
  </si>
  <si>
    <t xml:space="preserve">Cột Use case liên quan</t>
  </si>
  <si>
    <t xml:space="preserve">Đồng bộ với UC của các phương thức ở sheet 3: ToaNha, Phong, BangGia, TaiKhoan, HopDong, HopDongDichVu, BanGiaoTaiSan, ChiSo, ThongBaoTien, BaoThanhToan, SuCo, DichVuKhoiTao</t>
  </si>
  <si>
    <t xml:space="preserve">8</t>
  </si>
  <si>
    <t xml:space="preserve">Phân quyền theo vai trò</t>
  </si>
  <si>
    <t xml:space="preserve">Cập nhật dòng tòa/phòng, thông báo tiền, quyết toán, tài khoản</t>
  </si>
  <si>
    <t xml:space="preserve">Sheet 3_PhanQuyen Sidebar v1.3</t>
  </si>
  <si>
    <t xml:space="preserve">Tiêu đề quan hệ</t>
  </si>
  <si>
    <t xml:space="preserve">Đồng bộ với ERD_ChungCuMini_ver1.7 (3 thuộc tính, 4 phương thức, 2 quan hệ mới đã vẽ trên ERD)</t>
  </si>
</sst>
</file>

<file path=xl/styles.xml><?xml version="1.0" encoding="utf-8"?>
<styleSheet xmlns="http://schemas.openxmlformats.org/spreadsheetml/2006/main">
  <numFmts count="6">
    <numFmt numFmtId="164" formatCode="General"/>
    <numFmt numFmtId="165" formatCode="General"/>
    <numFmt numFmtId="166" formatCode="#,##0"/>
    <numFmt numFmtId="167" formatCode="m/d/yyyy"/>
    <numFmt numFmtId="168" formatCode="0.000000"/>
    <numFmt numFmtId="169"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595959"/>
      <name val="Arial"/>
      <family val="0"/>
      <charset val="1"/>
    </font>
    <font>
      <b val="true"/>
      <sz val="10"/>
      <color rgb="FFFFFFFF"/>
      <name val="Arial"/>
      <family val="0"/>
      <charset val="1"/>
    </font>
    <font>
      <sz val="9"/>
      <name val="Arial"/>
      <family val="0"/>
      <charset val="1"/>
    </font>
    <font>
      <b val="true"/>
      <sz val="9"/>
      <name val="Arial"/>
      <family val="0"/>
      <charset val="1"/>
    </font>
    <font>
      <b val="true"/>
      <sz val="10"/>
      <name val="Arial"/>
      <family val="0"/>
      <charset val="1"/>
    </font>
    <font>
      <sz val="10"/>
      <name val="Arial"/>
      <family val="0"/>
      <charset val="1"/>
    </font>
    <font>
      <sz val="10"/>
      <color rgb="FF0000FF"/>
      <name val="Arial"/>
      <family val="0"/>
      <charset val="1"/>
    </font>
    <font>
      <sz val="10"/>
      <color rgb="FF00000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7" fontId="11" fillId="0" borderId="1" xfId="0" applyFont="true" applyBorder="true" applyAlignment="true" applyProtection="false">
      <alignment horizontal="general" vertical="top" textRotation="0" wrapText="false" indent="0" shrinkToFit="false"/>
      <protection locked="true" hidden="false"/>
    </xf>
    <xf numFmtId="165" fontId="12" fillId="0" borderId="1" xfId="0" applyFont="true" applyBorder="true" applyAlignment="true" applyProtection="false">
      <alignment horizontal="general" vertical="top" textRotation="0" wrapText="false" indent="0" shrinkToFit="false"/>
      <protection locked="true" hidden="false"/>
    </xf>
    <xf numFmtId="168" fontId="12" fillId="0" borderId="1" xfId="0" applyFont="true" applyBorder="true" applyAlignment="true" applyProtection="false">
      <alignment horizontal="general" vertical="top" textRotation="0" wrapText="false" indent="0" shrinkToFit="false"/>
      <protection locked="true" hidden="false"/>
    </xf>
    <xf numFmtId="166" fontId="12" fillId="0" borderId="1" xfId="0" applyFont="true" applyBorder="true" applyAlignment="true" applyProtection="false">
      <alignment horizontal="general" vertical="top" textRotation="0" wrapText="false" indent="0" shrinkToFit="false"/>
      <protection locked="true" hidden="false"/>
    </xf>
    <xf numFmtId="169" fontId="12" fillId="0"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17" activePane="bottomRight" state="frozen"/>
      <selection pane="topLeft" activeCell="A1" activeCellId="0" sqref="A1"/>
      <selection pane="topRight" activeCell="C1" activeCellId="0" sqref="C1"/>
      <selection pane="bottomLeft" activeCell="A17" activeCellId="0" sqref="A17"/>
      <selection pane="bottomRight" activeCell="B7" activeCellId="0" sqref="B7"/>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24"/>
    <col collapsed="false" customWidth="true" hidden="false" outlineLevel="0" max="4" min="4" style="1" width="16"/>
    <col collapsed="false" customWidth="true" hidden="false" outlineLevel="0" max="5" min="5" style="1" width="20"/>
    <col collapsed="false" customWidth="true" hidden="false" outlineLevel="0" max="6" min="6" style="1" width="46"/>
    <col collapsed="false" customWidth="true" hidden="false" outlineLevel="0" max="7" min="7" style="1" width="22"/>
    <col collapsed="false" customWidth="true" hidden="false" outlineLevel="0" max="8" min="8" style="1" width="16"/>
    <col collapsed="false" customWidth="true" hidden="false" outlineLevel="0" max="9" min="9" style="1" width="28"/>
    <col collapsed="false" customWidth="true" hidden="false" outlineLevel="0" max="10" min="10" style="1" width="26"/>
    <col collapsed="false" customWidth="true" hidden="false" outlineLevel="0" max="12" min="11" style="1" width="10"/>
    <col collapsed="false" customWidth="true" hidden="false" outlineLevel="0" max="13" min="13" style="1" width="14"/>
  </cols>
  <sheetData>
    <row r="1" customFormat="false" ht="17.25" hidden="false" customHeight="true" outlineLevel="0" collapsed="false">
      <c r="A1" s="2" t="s">
        <v>0</v>
      </c>
    </row>
    <row r="2" customFormat="false" ht="15" hidden="false" customHeight="true" outlineLevel="0" collapsed="false">
      <c r="A2" s="3" t="s">
        <v>1</v>
      </c>
    </row>
    <row r="4" customFormat="false" ht="31.5"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row>
    <row r="5" customFormat="false" ht="21.75" hidden="false" customHeight="true" outlineLevel="0" collapsed="false">
      <c r="A5" s="5" t="n">
        <v>1</v>
      </c>
      <c r="B5" s="5" t="s">
        <v>15</v>
      </c>
      <c r="C5" s="5" t="s">
        <v>16</v>
      </c>
      <c r="D5" s="5" t="s">
        <v>17</v>
      </c>
      <c r="E5" s="5" t="s">
        <v>18</v>
      </c>
      <c r="F5" s="5" t="s">
        <v>19</v>
      </c>
      <c r="G5" s="5" t="s">
        <v>20</v>
      </c>
      <c r="H5" s="5" t="s">
        <v>21</v>
      </c>
      <c r="I5" s="5"/>
      <c r="J5" s="5" t="s">
        <v>22</v>
      </c>
      <c r="K5" s="6" t="n">
        <f aca="false">COUNTIF('2_ThuocTinh'!$B:$B,B5)</f>
        <v>12</v>
      </c>
      <c r="L5" s="6" t="n">
        <f aca="false">COUNTIF('3_PhuongThuc'!$B:$B,B5)</f>
        <v>3</v>
      </c>
      <c r="M5" s="5" t="s">
        <v>23</v>
      </c>
    </row>
    <row r="6" customFormat="false" ht="21.75" hidden="false" customHeight="true" outlineLevel="0" collapsed="false">
      <c r="A6" s="5" t="n">
        <v>2</v>
      </c>
      <c r="B6" s="5" t="s">
        <v>24</v>
      </c>
      <c r="C6" s="5" t="s">
        <v>25</v>
      </c>
      <c r="D6" s="5" t="s">
        <v>17</v>
      </c>
      <c r="E6" s="5" t="s">
        <v>18</v>
      </c>
      <c r="F6" s="5" t="s">
        <v>26</v>
      </c>
      <c r="G6" s="5" t="s">
        <v>27</v>
      </c>
      <c r="H6" s="5" t="s">
        <v>28</v>
      </c>
      <c r="I6" s="5" t="s">
        <v>29</v>
      </c>
      <c r="J6" s="5" t="s">
        <v>30</v>
      </c>
      <c r="K6" s="6" t="n">
        <f aca="false">COUNTIF('2_ThuocTinh'!$B:$B,B6)</f>
        <v>8</v>
      </c>
      <c r="L6" s="6" t="n">
        <f aca="false">COUNTIF('3_PhuongThuc'!$B:$B,B6)</f>
        <v>7</v>
      </c>
      <c r="M6" s="5" t="s">
        <v>23</v>
      </c>
    </row>
    <row r="7" customFormat="false" ht="15" hidden="false" customHeight="true" outlineLevel="0" collapsed="false">
      <c r="A7" s="5" t="n">
        <v>3</v>
      </c>
      <c r="B7" s="5" t="s">
        <v>31</v>
      </c>
      <c r="C7" s="5" t="s">
        <v>32</v>
      </c>
      <c r="D7" s="5" t="s">
        <v>17</v>
      </c>
      <c r="E7" s="5" t="s">
        <v>18</v>
      </c>
      <c r="F7" s="5" t="s">
        <v>33</v>
      </c>
      <c r="G7" s="5" t="s">
        <v>34</v>
      </c>
      <c r="H7" s="5" t="s">
        <v>21</v>
      </c>
      <c r="I7" s="5"/>
      <c r="J7" s="5" t="s">
        <v>35</v>
      </c>
      <c r="K7" s="6" t="n">
        <f aca="false">COUNTIF('2_ThuocTinh'!$B:$B,B7)</f>
        <v>6</v>
      </c>
      <c r="L7" s="6" t="n">
        <f aca="false">COUNTIF('3_PhuongThuc'!$B:$B,B7)</f>
        <v>1</v>
      </c>
      <c r="M7" s="5" t="s">
        <v>23</v>
      </c>
    </row>
    <row r="8" customFormat="false" ht="21.75" hidden="false" customHeight="true" outlineLevel="0" collapsed="false">
      <c r="A8" s="5" t="n">
        <v>4</v>
      </c>
      <c r="B8" s="5" t="s">
        <v>36</v>
      </c>
      <c r="C8" s="5" t="s">
        <v>37</v>
      </c>
      <c r="D8" s="5" t="s">
        <v>17</v>
      </c>
      <c r="E8" s="5" t="s">
        <v>18</v>
      </c>
      <c r="F8" s="5" t="s">
        <v>38</v>
      </c>
      <c r="G8" s="5" t="s">
        <v>39</v>
      </c>
      <c r="H8" s="5" t="s">
        <v>21</v>
      </c>
      <c r="I8" s="5" t="s">
        <v>40</v>
      </c>
      <c r="J8" s="5" t="s">
        <v>41</v>
      </c>
      <c r="K8" s="6" t="n">
        <f aca="false">COUNTIF('2_ThuocTinh'!$B:$B,B8)</f>
        <v>8</v>
      </c>
      <c r="L8" s="6" t="n">
        <f aca="false">COUNTIF('3_PhuongThuc'!$B:$B,B8)</f>
        <v>2</v>
      </c>
      <c r="M8" s="5" t="s">
        <v>23</v>
      </c>
    </row>
    <row r="9" customFormat="false" ht="21.75" hidden="false" customHeight="true" outlineLevel="0" collapsed="false">
      <c r="A9" s="5" t="n">
        <v>5</v>
      </c>
      <c r="B9" s="5" t="s">
        <v>42</v>
      </c>
      <c r="C9" s="5" t="s">
        <v>43</v>
      </c>
      <c r="D9" s="5" t="s">
        <v>17</v>
      </c>
      <c r="E9" s="5" t="s">
        <v>44</v>
      </c>
      <c r="F9" s="5" t="s">
        <v>45</v>
      </c>
      <c r="G9" s="5" t="s">
        <v>46</v>
      </c>
      <c r="H9" s="5" t="s">
        <v>47</v>
      </c>
      <c r="I9" s="5" t="s">
        <v>48</v>
      </c>
      <c r="J9" s="5" t="s">
        <v>49</v>
      </c>
      <c r="K9" s="6" t="n">
        <f aca="false">COUNTIF('2_ThuocTinh'!$B:$B,B9)</f>
        <v>9</v>
      </c>
      <c r="L9" s="6" t="n">
        <f aca="false">COUNTIF('3_PhuongThuc'!$B:$B,B9)</f>
        <v>6</v>
      </c>
      <c r="M9" s="5" t="s">
        <v>23</v>
      </c>
    </row>
    <row r="10" customFormat="false" ht="15" hidden="false" customHeight="true" outlineLevel="0" collapsed="false">
      <c r="A10" s="5" t="n">
        <v>6</v>
      </c>
      <c r="B10" s="5" t="s">
        <v>50</v>
      </c>
      <c r="C10" s="5" t="s">
        <v>51</v>
      </c>
      <c r="D10" s="5" t="s">
        <v>17</v>
      </c>
      <c r="E10" s="5" t="s">
        <v>44</v>
      </c>
      <c r="F10" s="5" t="s">
        <v>52</v>
      </c>
      <c r="G10" s="5" t="s">
        <v>53</v>
      </c>
      <c r="H10" s="5" t="s">
        <v>21</v>
      </c>
      <c r="I10" s="5" t="s">
        <v>54</v>
      </c>
      <c r="J10" s="5" t="s">
        <v>55</v>
      </c>
      <c r="K10" s="6" t="n">
        <f aca="false">COUNTIF('2_ThuocTinh'!$B:$B,B10)</f>
        <v>7</v>
      </c>
      <c r="L10" s="6" t="n">
        <f aca="false">COUNTIF('3_PhuongThuc'!$B:$B,B10)</f>
        <v>2</v>
      </c>
      <c r="M10" s="5" t="s">
        <v>23</v>
      </c>
    </row>
    <row r="11" customFormat="false" ht="15" hidden="false" customHeight="true" outlineLevel="0" collapsed="false">
      <c r="A11" s="5" t="n">
        <v>7</v>
      </c>
      <c r="B11" s="5" t="s">
        <v>56</v>
      </c>
      <c r="C11" s="5" t="s">
        <v>57</v>
      </c>
      <c r="D11" s="5" t="s">
        <v>17</v>
      </c>
      <c r="E11" s="5" t="s">
        <v>44</v>
      </c>
      <c r="F11" s="5" t="s">
        <v>58</v>
      </c>
      <c r="G11" s="5" t="s">
        <v>59</v>
      </c>
      <c r="H11" s="5" t="s">
        <v>21</v>
      </c>
      <c r="I11" s="5"/>
      <c r="J11" s="5" t="s">
        <v>60</v>
      </c>
      <c r="K11" s="6" t="n">
        <f aca="false">COUNTIF('2_ThuocTinh'!$B:$B,B11)</f>
        <v>8</v>
      </c>
      <c r="L11" s="6" t="n">
        <f aca="false">COUNTIF('3_PhuongThuc'!$B:$B,B11)</f>
        <v>2</v>
      </c>
      <c r="M11" s="5" t="s">
        <v>23</v>
      </c>
    </row>
    <row r="12" customFormat="false" ht="15" hidden="false" customHeight="true" outlineLevel="0" collapsed="false">
      <c r="A12" s="5" t="n">
        <v>8</v>
      </c>
      <c r="B12" s="5" t="s">
        <v>61</v>
      </c>
      <c r="C12" s="5" t="s">
        <v>62</v>
      </c>
      <c r="D12" s="5" t="s">
        <v>63</v>
      </c>
      <c r="E12" s="5" t="s">
        <v>44</v>
      </c>
      <c r="F12" s="5" t="s">
        <v>64</v>
      </c>
      <c r="G12" s="5" t="s">
        <v>65</v>
      </c>
      <c r="H12" s="5" t="s">
        <v>21</v>
      </c>
      <c r="I12" s="5"/>
      <c r="J12" s="5" t="s">
        <v>66</v>
      </c>
      <c r="K12" s="6" t="n">
        <f aca="false">COUNTIF('2_ThuocTinh'!$B:$B,B12)</f>
        <v>4</v>
      </c>
      <c r="L12" s="6" t="n">
        <f aca="false">COUNTIF('3_PhuongThuc'!$B:$B,B12)</f>
        <v>2</v>
      </c>
      <c r="M12" s="5" t="s">
        <v>23</v>
      </c>
    </row>
    <row r="13" customFormat="false" ht="21.75" hidden="false" customHeight="true" outlineLevel="0" collapsed="false">
      <c r="A13" s="5" t="n">
        <v>9</v>
      </c>
      <c r="B13" s="5" t="s">
        <v>67</v>
      </c>
      <c r="C13" s="5" t="s">
        <v>68</v>
      </c>
      <c r="D13" s="5" t="s">
        <v>17</v>
      </c>
      <c r="E13" s="5" t="s">
        <v>69</v>
      </c>
      <c r="F13" s="5" t="s">
        <v>70</v>
      </c>
      <c r="G13" s="5" t="s">
        <v>71</v>
      </c>
      <c r="H13" s="5" t="s">
        <v>21</v>
      </c>
      <c r="I13" s="5" t="s">
        <v>72</v>
      </c>
      <c r="J13" s="5" t="s">
        <v>73</v>
      </c>
      <c r="K13" s="6" t="n">
        <f aca="false">COUNTIF('2_ThuocTinh'!$B:$B,B13)</f>
        <v>8</v>
      </c>
      <c r="L13" s="6" t="n">
        <f aca="false">COUNTIF('3_PhuongThuc'!$B:$B,B13)</f>
        <v>3</v>
      </c>
      <c r="M13" s="5" t="s">
        <v>23</v>
      </c>
    </row>
    <row r="14" customFormat="false" ht="21.75" hidden="false" customHeight="true" outlineLevel="0" collapsed="false">
      <c r="A14" s="5" t="n">
        <v>10</v>
      </c>
      <c r="B14" s="5" t="s">
        <v>74</v>
      </c>
      <c r="C14" s="5" t="s">
        <v>75</v>
      </c>
      <c r="D14" s="5" t="s">
        <v>17</v>
      </c>
      <c r="E14" s="5" t="s">
        <v>69</v>
      </c>
      <c r="F14" s="5" t="s">
        <v>76</v>
      </c>
      <c r="G14" s="5" t="s">
        <v>77</v>
      </c>
      <c r="H14" s="5" t="s">
        <v>78</v>
      </c>
      <c r="I14" s="5" t="s">
        <v>79</v>
      </c>
      <c r="J14" s="5" t="s">
        <v>80</v>
      </c>
      <c r="K14" s="6" t="n">
        <f aca="false">COUNTIF('2_ThuocTinh'!$B:$B,B14)</f>
        <v>19</v>
      </c>
      <c r="L14" s="6" t="n">
        <f aca="false">COUNTIF('3_PhuongThuc'!$B:$B,B14)</f>
        <v>14</v>
      </c>
      <c r="M14" s="5" t="s">
        <v>23</v>
      </c>
    </row>
    <row r="15" customFormat="false" ht="21.75" hidden="false" customHeight="true" outlineLevel="0" collapsed="false">
      <c r="A15" s="5" t="n">
        <v>11</v>
      </c>
      <c r="B15" s="5" t="s">
        <v>81</v>
      </c>
      <c r="C15" s="5" t="s">
        <v>82</v>
      </c>
      <c r="D15" s="5" t="s">
        <v>17</v>
      </c>
      <c r="E15" s="5" t="s">
        <v>69</v>
      </c>
      <c r="F15" s="5" t="s">
        <v>83</v>
      </c>
      <c r="G15" s="5" t="s">
        <v>84</v>
      </c>
      <c r="H15" s="5" t="s">
        <v>21</v>
      </c>
      <c r="I15" s="5" t="s">
        <v>85</v>
      </c>
      <c r="J15" s="5" t="s">
        <v>86</v>
      </c>
      <c r="K15" s="6" t="n">
        <f aca="false">COUNTIF('2_ThuocTinh'!$B:$B,B15)</f>
        <v>7</v>
      </c>
      <c r="L15" s="6" t="n">
        <f aca="false">COUNTIF('3_PhuongThuc'!$B:$B,B15)</f>
        <v>2</v>
      </c>
      <c r="M15" s="5" t="s">
        <v>23</v>
      </c>
    </row>
    <row r="16" customFormat="false" ht="15" hidden="false" customHeight="true" outlineLevel="0" collapsed="false">
      <c r="A16" s="5" t="n">
        <v>12</v>
      </c>
      <c r="B16" s="5" t="s">
        <v>87</v>
      </c>
      <c r="C16" s="5" t="s">
        <v>88</v>
      </c>
      <c r="D16" s="5" t="s">
        <v>63</v>
      </c>
      <c r="E16" s="5" t="s">
        <v>69</v>
      </c>
      <c r="F16" s="5" t="s">
        <v>89</v>
      </c>
      <c r="G16" s="5" t="s">
        <v>90</v>
      </c>
      <c r="H16" s="5" t="s">
        <v>21</v>
      </c>
      <c r="I16" s="5"/>
      <c r="J16" s="5" t="s">
        <v>91</v>
      </c>
      <c r="K16" s="6" t="n">
        <f aca="false">COUNTIF('2_ThuocTinh'!$B:$B,B16)</f>
        <v>5</v>
      </c>
      <c r="L16" s="6" t="n">
        <f aca="false">COUNTIF('3_PhuongThuc'!$B:$B,B16)</f>
        <v>1</v>
      </c>
      <c r="M16" s="5" t="s">
        <v>23</v>
      </c>
    </row>
    <row r="17" customFormat="false" ht="15" hidden="false" customHeight="true" outlineLevel="0" collapsed="false">
      <c r="A17" s="5" t="n">
        <v>13</v>
      </c>
      <c r="B17" s="5" t="s">
        <v>92</v>
      </c>
      <c r="C17" s="5" t="s">
        <v>93</v>
      </c>
      <c r="D17" s="5" t="s">
        <v>17</v>
      </c>
      <c r="E17" s="5" t="s">
        <v>69</v>
      </c>
      <c r="F17" s="5" t="s">
        <v>94</v>
      </c>
      <c r="G17" s="5" t="s">
        <v>95</v>
      </c>
      <c r="H17" s="5" t="s">
        <v>21</v>
      </c>
      <c r="I17" s="5" t="s">
        <v>96</v>
      </c>
      <c r="J17" s="5" t="s">
        <v>97</v>
      </c>
      <c r="K17" s="6" t="n">
        <f aca="false">COUNTIF('2_ThuocTinh'!$B:$B,B17)</f>
        <v>8</v>
      </c>
      <c r="L17" s="6" t="n">
        <f aca="false">COUNTIF('3_PhuongThuc'!$B:$B,B17)</f>
        <v>3</v>
      </c>
      <c r="M17" s="5" t="s">
        <v>23</v>
      </c>
    </row>
    <row r="18" customFormat="false" ht="21.75" hidden="false" customHeight="true" outlineLevel="0" collapsed="false">
      <c r="A18" s="5" t="n">
        <v>14</v>
      </c>
      <c r="B18" s="5" t="s">
        <v>98</v>
      </c>
      <c r="C18" s="5" t="s">
        <v>99</v>
      </c>
      <c r="D18" s="5" t="s">
        <v>17</v>
      </c>
      <c r="E18" s="5" t="s">
        <v>69</v>
      </c>
      <c r="F18" s="5" t="s">
        <v>100</v>
      </c>
      <c r="G18" s="5" t="s">
        <v>101</v>
      </c>
      <c r="H18" s="5" t="s">
        <v>21</v>
      </c>
      <c r="I18" s="5"/>
      <c r="J18" s="5" t="s">
        <v>102</v>
      </c>
      <c r="K18" s="6" t="n">
        <f aca="false">COUNTIF('2_ThuocTinh'!$B:$B,B18)</f>
        <v>9</v>
      </c>
      <c r="L18" s="6" t="n">
        <f aca="false">COUNTIF('3_PhuongThuc'!$B:$B,B18)</f>
        <v>1</v>
      </c>
      <c r="M18" s="5" t="s">
        <v>23</v>
      </c>
    </row>
    <row r="19" customFormat="false" ht="15" hidden="false" customHeight="true" outlineLevel="0" collapsed="false">
      <c r="A19" s="5" t="n">
        <v>15</v>
      </c>
      <c r="B19" s="5" t="s">
        <v>103</v>
      </c>
      <c r="C19" s="5" t="s">
        <v>104</v>
      </c>
      <c r="D19" s="5" t="s">
        <v>17</v>
      </c>
      <c r="E19" s="5" t="s">
        <v>105</v>
      </c>
      <c r="F19" s="5" t="s">
        <v>106</v>
      </c>
      <c r="G19" s="5" t="s">
        <v>107</v>
      </c>
      <c r="H19" s="5" t="s">
        <v>21</v>
      </c>
      <c r="I19" s="5" t="s">
        <v>108</v>
      </c>
      <c r="J19" s="5" t="s">
        <v>109</v>
      </c>
      <c r="K19" s="6" t="n">
        <f aca="false">COUNTIF('2_ThuocTinh'!$B:$B,B19)</f>
        <v>9</v>
      </c>
      <c r="L19" s="6" t="n">
        <f aca="false">COUNTIF('3_PhuongThuc'!$B:$B,B19)</f>
        <v>3</v>
      </c>
      <c r="M19" s="5" t="s">
        <v>23</v>
      </c>
    </row>
    <row r="20" customFormat="false" ht="15" hidden="false" customHeight="true" outlineLevel="0" collapsed="false">
      <c r="A20" s="5" t="n">
        <v>16</v>
      </c>
      <c r="B20" s="5" t="s">
        <v>110</v>
      </c>
      <c r="C20" s="5" t="s">
        <v>105</v>
      </c>
      <c r="D20" s="5" t="s">
        <v>17</v>
      </c>
      <c r="E20" s="5" t="s">
        <v>105</v>
      </c>
      <c r="F20" s="5" t="s">
        <v>111</v>
      </c>
      <c r="G20" s="5" t="s">
        <v>112</v>
      </c>
      <c r="H20" s="5" t="s">
        <v>113</v>
      </c>
      <c r="I20" s="5" t="s">
        <v>114</v>
      </c>
      <c r="J20" s="5" t="s">
        <v>115</v>
      </c>
      <c r="K20" s="6" t="n">
        <f aca="false">COUNTIF('2_ThuocTinh'!$B:$B,B20)</f>
        <v>12</v>
      </c>
      <c r="L20" s="6" t="n">
        <f aca="false">COUNTIF('3_PhuongThuc'!$B:$B,B20)</f>
        <v>8</v>
      </c>
      <c r="M20" s="5" t="s">
        <v>23</v>
      </c>
    </row>
    <row r="21" customFormat="false" ht="15" hidden="false" customHeight="true" outlineLevel="0" collapsed="false">
      <c r="A21" s="5" t="n">
        <v>17</v>
      </c>
      <c r="B21" s="5" t="s">
        <v>116</v>
      </c>
      <c r="C21" s="5" t="s">
        <v>117</v>
      </c>
      <c r="D21" s="5" t="s">
        <v>17</v>
      </c>
      <c r="E21" s="5" t="s">
        <v>105</v>
      </c>
      <c r="F21" s="5" t="s">
        <v>118</v>
      </c>
      <c r="G21" s="5" t="s">
        <v>119</v>
      </c>
      <c r="H21" s="5" t="s">
        <v>21</v>
      </c>
      <c r="I21" s="5" t="s">
        <v>120</v>
      </c>
      <c r="J21" s="5" t="s">
        <v>121</v>
      </c>
      <c r="K21" s="6" t="n">
        <f aca="false">COUNTIF('2_ThuocTinh'!$B:$B,B21)</f>
        <v>13</v>
      </c>
      <c r="L21" s="6" t="n">
        <f aca="false">COUNTIF('3_PhuongThuc'!$B:$B,B21)</f>
        <v>1</v>
      </c>
      <c r="M21" s="5" t="s">
        <v>23</v>
      </c>
    </row>
    <row r="22" customFormat="false" ht="15" hidden="false" customHeight="true" outlineLevel="0" collapsed="false">
      <c r="A22" s="5" t="n">
        <v>18</v>
      </c>
      <c r="B22" s="5" t="s">
        <v>122</v>
      </c>
      <c r="C22" s="5" t="s">
        <v>123</v>
      </c>
      <c r="D22" s="5" t="s">
        <v>17</v>
      </c>
      <c r="E22" s="5" t="s">
        <v>124</v>
      </c>
      <c r="F22" s="5" t="s">
        <v>125</v>
      </c>
      <c r="G22" s="5" t="s">
        <v>126</v>
      </c>
      <c r="H22" s="5" t="s">
        <v>127</v>
      </c>
      <c r="I22" s="5"/>
      <c r="J22" s="5" t="s">
        <v>128</v>
      </c>
      <c r="K22" s="6" t="n">
        <f aca="false">COUNTIF('2_ThuocTinh'!$B:$B,B22)</f>
        <v>6</v>
      </c>
      <c r="L22" s="6" t="n">
        <f aca="false">COUNTIF('3_PhuongThuc'!$B:$B,B22)</f>
        <v>3</v>
      </c>
      <c r="M22" s="5" t="s">
        <v>23</v>
      </c>
    </row>
    <row r="23" customFormat="false" ht="15" hidden="false" customHeight="true" outlineLevel="0" collapsed="false">
      <c r="A23" s="5" t="n">
        <v>19</v>
      </c>
      <c r="B23" s="5" t="s">
        <v>129</v>
      </c>
      <c r="C23" s="5" t="s">
        <v>130</v>
      </c>
      <c r="D23" s="5" t="s">
        <v>17</v>
      </c>
      <c r="E23" s="5" t="s">
        <v>124</v>
      </c>
      <c r="F23" s="5" t="s">
        <v>131</v>
      </c>
      <c r="G23" s="5" t="s">
        <v>132</v>
      </c>
      <c r="H23" s="5" t="s">
        <v>133</v>
      </c>
      <c r="I23" s="5" t="s">
        <v>134</v>
      </c>
      <c r="J23" s="5" t="s">
        <v>135</v>
      </c>
      <c r="K23" s="6" t="n">
        <f aca="false">COUNTIF('2_ThuocTinh'!$B:$B,B23)</f>
        <v>9</v>
      </c>
      <c r="L23" s="6" t="n">
        <f aca="false">COUNTIF('3_PhuongThuc'!$B:$B,B23)</f>
        <v>4</v>
      </c>
      <c r="M23" s="5" t="s">
        <v>23</v>
      </c>
    </row>
    <row r="24" customFormat="false" ht="15" hidden="false" customHeight="true" outlineLevel="0" collapsed="false">
      <c r="A24" s="5" t="n">
        <v>20</v>
      </c>
      <c r="B24" s="5" t="s">
        <v>136</v>
      </c>
      <c r="C24" s="5" t="s">
        <v>137</v>
      </c>
      <c r="D24" s="5" t="s">
        <v>17</v>
      </c>
      <c r="E24" s="5" t="s">
        <v>138</v>
      </c>
      <c r="F24" s="5" t="s">
        <v>139</v>
      </c>
      <c r="G24" s="5" t="s">
        <v>140</v>
      </c>
      <c r="H24" s="5" t="s">
        <v>141</v>
      </c>
      <c r="I24" s="5" t="s">
        <v>142</v>
      </c>
      <c r="J24" s="5" t="s">
        <v>143</v>
      </c>
      <c r="K24" s="6" t="n">
        <f aca="false">COUNTIF('2_ThuocTinh'!$B:$B,B24)</f>
        <v>12</v>
      </c>
      <c r="L24" s="6" t="n">
        <f aca="false">COUNTIF('3_PhuongThuc'!$B:$B,B24)</f>
        <v>9</v>
      </c>
      <c r="M24" s="5" t="s">
        <v>23</v>
      </c>
    </row>
    <row r="25" customFormat="false" ht="15" hidden="false" customHeight="true" outlineLevel="0" collapsed="false">
      <c r="A25" s="5" t="n">
        <v>21</v>
      </c>
      <c r="B25" s="5" t="s">
        <v>144</v>
      </c>
      <c r="C25" s="5" t="s">
        <v>145</v>
      </c>
      <c r="D25" s="5" t="s">
        <v>17</v>
      </c>
      <c r="E25" s="5" t="s">
        <v>138</v>
      </c>
      <c r="F25" s="5" t="s">
        <v>146</v>
      </c>
      <c r="G25" s="5" t="s">
        <v>119</v>
      </c>
      <c r="H25" s="5" t="s">
        <v>21</v>
      </c>
      <c r="I25" s="5" t="s">
        <v>96</v>
      </c>
      <c r="J25" s="5" t="s">
        <v>147</v>
      </c>
      <c r="K25" s="6" t="n">
        <f aca="false">COUNTIF('2_ThuocTinh'!$B:$B,B25)</f>
        <v>6</v>
      </c>
      <c r="L25" s="6" t="n">
        <f aca="false">COUNTIF('3_PhuongThuc'!$B:$B,B25)</f>
        <v>1</v>
      </c>
      <c r="M25" s="5" t="s">
        <v>23</v>
      </c>
    </row>
    <row r="26" customFormat="false" ht="15" hidden="false" customHeight="true" outlineLevel="0" collapsed="false">
      <c r="A26" s="5" t="n">
        <v>22</v>
      </c>
      <c r="B26" s="5" t="s">
        <v>148</v>
      </c>
      <c r="C26" s="5" t="s">
        <v>149</v>
      </c>
      <c r="D26" s="5" t="s">
        <v>17</v>
      </c>
      <c r="E26" s="5" t="s">
        <v>138</v>
      </c>
      <c r="F26" s="5" t="s">
        <v>150</v>
      </c>
      <c r="G26" s="5" t="s">
        <v>151</v>
      </c>
      <c r="H26" s="5" t="s">
        <v>21</v>
      </c>
      <c r="I26" s="5"/>
      <c r="J26" s="5" t="s">
        <v>152</v>
      </c>
      <c r="K26" s="6" t="n">
        <f aca="false">COUNTIF('2_ThuocTinh'!$B:$B,B26)</f>
        <v>6</v>
      </c>
      <c r="L26" s="6" t="n">
        <f aca="false">COUNTIF('3_PhuongThuc'!$B:$B,B26)</f>
        <v>1</v>
      </c>
      <c r="M26" s="5" t="s">
        <v>23</v>
      </c>
    </row>
    <row r="27" customFormat="false" ht="15" hidden="false" customHeight="true" outlineLevel="0" collapsed="false">
      <c r="A27" s="5" t="n">
        <v>23</v>
      </c>
      <c r="B27" s="5" t="s">
        <v>153</v>
      </c>
      <c r="C27" s="5" t="s">
        <v>154</v>
      </c>
      <c r="D27" s="5" t="s">
        <v>17</v>
      </c>
      <c r="E27" s="5" t="s">
        <v>154</v>
      </c>
      <c r="F27" s="5" t="s">
        <v>155</v>
      </c>
      <c r="G27" s="5" t="s">
        <v>156</v>
      </c>
      <c r="H27" s="5" t="s">
        <v>157</v>
      </c>
      <c r="I27" s="5" t="s">
        <v>158</v>
      </c>
      <c r="J27" s="5" t="s">
        <v>159</v>
      </c>
      <c r="K27" s="6" t="n">
        <f aca="false">COUNTIF('2_ThuocTinh'!$B:$B,B27)</f>
        <v>12</v>
      </c>
      <c r="L27" s="6" t="n">
        <f aca="false">COUNTIF('3_PhuongThuc'!$B:$B,B27)</f>
        <v>6</v>
      </c>
      <c r="M27" s="5" t="s">
        <v>23</v>
      </c>
    </row>
    <row r="28" customFormat="false" ht="15" hidden="false" customHeight="true" outlineLevel="0" collapsed="false">
      <c r="A28" s="5" t="n">
        <v>24</v>
      </c>
      <c r="B28" s="5" t="s">
        <v>160</v>
      </c>
      <c r="C28" s="5" t="s">
        <v>161</v>
      </c>
      <c r="D28" s="5" t="s">
        <v>17</v>
      </c>
      <c r="E28" s="5" t="s">
        <v>154</v>
      </c>
      <c r="F28" s="5" t="s">
        <v>162</v>
      </c>
      <c r="G28" s="5" t="s">
        <v>101</v>
      </c>
      <c r="H28" s="5" t="s">
        <v>21</v>
      </c>
      <c r="I28" s="5"/>
      <c r="J28" s="5" t="s">
        <v>163</v>
      </c>
      <c r="K28" s="6" t="n">
        <f aca="false">COUNTIF('2_ThuocTinh'!$B:$B,B28)</f>
        <v>7</v>
      </c>
      <c r="L28" s="6" t="n">
        <f aca="false">COUNTIF('3_PhuongThuc'!$B:$B,B28)</f>
        <v>1</v>
      </c>
      <c r="M28" s="5" t="s">
        <v>23</v>
      </c>
    </row>
    <row r="29" customFormat="false" ht="21.75" hidden="false" customHeight="true" outlineLevel="0" collapsed="false">
      <c r="A29" s="7" t="n">
        <v>25</v>
      </c>
      <c r="B29" s="7" t="s">
        <v>164</v>
      </c>
      <c r="C29" s="7" t="s">
        <v>165</v>
      </c>
      <c r="D29" s="7" t="s">
        <v>166</v>
      </c>
      <c r="E29" s="7" t="s">
        <v>105</v>
      </c>
      <c r="F29" s="7" t="s">
        <v>167</v>
      </c>
      <c r="G29" s="7" t="s">
        <v>21</v>
      </c>
      <c r="H29" s="7" t="s">
        <v>21</v>
      </c>
      <c r="I29" s="7" t="s">
        <v>168</v>
      </c>
      <c r="J29" s="7" t="s">
        <v>169</v>
      </c>
      <c r="K29" s="8" t="n">
        <f aca="false">COUNTIF('2_ThuocTinh'!$B:$B,B29)</f>
        <v>0</v>
      </c>
      <c r="L29" s="8" t="n">
        <f aca="false">COUNTIF('3_PhuongThuc'!$B:$B,B29)</f>
        <v>3</v>
      </c>
      <c r="M29" s="7" t="s">
        <v>170</v>
      </c>
    </row>
    <row r="30" customFormat="false" ht="21.75" hidden="false" customHeight="true" outlineLevel="0" collapsed="false">
      <c r="A30" s="7" t="n">
        <v>26</v>
      </c>
      <c r="B30" s="7" t="s">
        <v>171</v>
      </c>
      <c r="C30" s="7" t="s">
        <v>172</v>
      </c>
      <c r="D30" s="7" t="s">
        <v>166</v>
      </c>
      <c r="E30" s="7" t="s">
        <v>173</v>
      </c>
      <c r="F30" s="7" t="s">
        <v>174</v>
      </c>
      <c r="G30" s="7" t="s">
        <v>21</v>
      </c>
      <c r="H30" s="7" t="s">
        <v>21</v>
      </c>
      <c r="I30" s="7"/>
      <c r="J30" s="7" t="s">
        <v>175</v>
      </c>
      <c r="K30" s="8" t="n">
        <f aca="false">COUNTIF('2_ThuocTinh'!$B:$B,B30)</f>
        <v>0</v>
      </c>
      <c r="L30" s="8" t="n">
        <f aca="false">COUNTIF('3_PhuongThuc'!$B:$B,B30)</f>
        <v>1</v>
      </c>
      <c r="M30" s="7" t="s">
        <v>170</v>
      </c>
    </row>
    <row r="31" customFormat="false" ht="21.75" hidden="false" customHeight="true" outlineLevel="0" collapsed="false">
      <c r="A31" s="7" t="n">
        <v>27</v>
      </c>
      <c r="B31" s="7" t="s">
        <v>176</v>
      </c>
      <c r="C31" s="7" t="s">
        <v>177</v>
      </c>
      <c r="D31" s="7" t="s">
        <v>166</v>
      </c>
      <c r="E31" s="7" t="s">
        <v>178</v>
      </c>
      <c r="F31" s="7" t="s">
        <v>179</v>
      </c>
      <c r="G31" s="7" t="s">
        <v>21</v>
      </c>
      <c r="H31" s="7" t="s">
        <v>21</v>
      </c>
      <c r="I31" s="7"/>
      <c r="J31" s="7" t="s">
        <v>180</v>
      </c>
      <c r="K31" s="8" t="n">
        <f aca="false">COUNTIF('2_ThuocTinh'!$B:$B,B31)</f>
        <v>0</v>
      </c>
      <c r="L31" s="8" t="n">
        <f aca="false">COUNTIF('3_PhuongThuc'!$B:$B,B31)</f>
        <v>1</v>
      </c>
      <c r="M31" s="7" t="s">
        <v>170</v>
      </c>
    </row>
    <row r="32" customFormat="false" ht="21.75" hidden="false" customHeight="true" outlineLevel="0" collapsed="false">
      <c r="A32" s="7" t="n">
        <v>28</v>
      </c>
      <c r="B32" s="7" t="s">
        <v>181</v>
      </c>
      <c r="C32" s="7" t="s">
        <v>182</v>
      </c>
      <c r="D32" s="7" t="s">
        <v>166</v>
      </c>
      <c r="E32" s="7" t="s">
        <v>178</v>
      </c>
      <c r="F32" s="7" t="s">
        <v>183</v>
      </c>
      <c r="G32" s="7" t="s">
        <v>21</v>
      </c>
      <c r="H32" s="7" t="s">
        <v>21</v>
      </c>
      <c r="I32" s="7"/>
      <c r="J32" s="7" t="s">
        <v>184</v>
      </c>
      <c r="K32" s="8" t="n">
        <f aca="false">COUNTIF('2_ThuocTinh'!$B:$B,B32)</f>
        <v>0</v>
      </c>
      <c r="L32" s="8" t="n">
        <f aca="false">COUNTIF('3_PhuongThuc'!$B:$B,B32)</f>
        <v>8</v>
      </c>
      <c r="M32" s="7" t="s">
        <v>170</v>
      </c>
    </row>
    <row r="33" customFormat="false" ht="21.75" hidden="false" customHeight="true" outlineLevel="0" collapsed="false">
      <c r="A33" s="7" t="n">
        <v>29</v>
      </c>
      <c r="B33" s="7" t="s">
        <v>185</v>
      </c>
      <c r="C33" s="7" t="s">
        <v>186</v>
      </c>
      <c r="D33" s="7" t="s">
        <v>166</v>
      </c>
      <c r="E33" s="7" t="s">
        <v>187</v>
      </c>
      <c r="F33" s="7" t="s">
        <v>188</v>
      </c>
      <c r="G33" s="7" t="s">
        <v>21</v>
      </c>
      <c r="H33" s="7" t="s">
        <v>21</v>
      </c>
      <c r="I33" s="7"/>
      <c r="J33" s="7" t="s">
        <v>189</v>
      </c>
      <c r="K33" s="8" t="n">
        <f aca="false">COUNTIF('2_ThuocTinh'!$B:$B,B33)</f>
        <v>0</v>
      </c>
      <c r="L33" s="8" t="n">
        <f aca="false">COUNTIF('3_PhuongThuc'!$B:$B,B33)</f>
        <v>1</v>
      </c>
      <c r="M33" s="7" t="s">
        <v>170</v>
      </c>
    </row>
    <row r="34" customFormat="false" ht="15" hidden="false" customHeight="true" outlineLevel="0" collapsed="false">
      <c r="J34" s="9" t="s">
        <v>190</v>
      </c>
      <c r="K34" s="9" t="n">
        <f aca="false">SUM(K5:K33)</f>
        <v>210</v>
      </c>
      <c r="L34" s="9" t="n">
        <f aca="false">SUM(L5:L33)</f>
        <v>100</v>
      </c>
    </row>
  </sheetData>
  <autoFilter ref="A4:M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1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153" activePane="bottomRight" state="frozen"/>
      <selection pane="topLeft" activeCell="A1" activeCellId="0" sqref="A1"/>
      <selection pane="topRight" activeCell="C1" activeCellId="0" sqref="C1"/>
      <selection pane="bottomLeft" activeCell="A153" activeCellId="0" sqref="A153"/>
      <selection pane="bottomRight" activeCell="C153" activeCellId="0" sqref="C153"/>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20"/>
    <col collapsed="false" customWidth="true" hidden="false" outlineLevel="0" max="4" min="4" style="1" width="22"/>
    <col collapsed="false" customWidth="true" hidden="false" outlineLevel="0" max="5" min="5" style="1" width="13"/>
    <col collapsed="false" customWidth="true" hidden="false" outlineLevel="0" max="6" min="6" style="1" width="15"/>
    <col collapsed="false" customWidth="true" hidden="false" outlineLevel="0" max="7" min="7" style="1" width="26"/>
    <col collapsed="false" customWidth="true" hidden="false" outlineLevel="0" max="8" min="8" style="1" width="30"/>
    <col collapsed="false" customWidth="true" hidden="false" outlineLevel="0" max="9" min="9" style="1" width="10"/>
    <col collapsed="false" customWidth="true" hidden="false" outlineLevel="0" max="10" min="10" style="1" width="9"/>
    <col collapsed="false" customWidth="true" hidden="false" outlineLevel="0" max="11" min="11" style="1" width="24"/>
    <col collapsed="false" customWidth="true" hidden="false" outlineLevel="0" max="12" min="12" style="1" width="16"/>
    <col collapsed="false" customWidth="true" hidden="false" outlineLevel="0" max="13" min="13" style="1" width="46"/>
    <col collapsed="false" customWidth="true" hidden="false" outlineLevel="0" max="14" min="14" style="1" width="14"/>
  </cols>
  <sheetData>
    <row r="1" customFormat="false" ht="17.25" hidden="false" customHeight="true" outlineLevel="0" collapsed="false">
      <c r="A1" s="2" t="s">
        <v>191</v>
      </c>
    </row>
    <row r="2" customFormat="false" ht="15" hidden="false" customHeight="true" outlineLevel="0" collapsed="false">
      <c r="A2" s="3" t="s">
        <v>192</v>
      </c>
    </row>
    <row r="4" customFormat="false" ht="31.5" hidden="false" customHeight="true" outlineLevel="0" collapsed="false">
      <c r="A4" s="4" t="s">
        <v>2</v>
      </c>
      <c r="B4" s="4" t="s">
        <v>193</v>
      </c>
      <c r="C4" s="4" t="s">
        <v>194</v>
      </c>
      <c r="D4" s="4" t="s">
        <v>195</v>
      </c>
      <c r="E4" s="4" t="s">
        <v>196</v>
      </c>
      <c r="F4" s="4" t="s">
        <v>197</v>
      </c>
      <c r="G4" s="4" t="s">
        <v>198</v>
      </c>
      <c r="H4" s="4" t="s">
        <v>199</v>
      </c>
      <c r="I4" s="4" t="s">
        <v>200</v>
      </c>
      <c r="J4" s="4" t="s">
        <v>201</v>
      </c>
      <c r="K4" s="4" t="s">
        <v>202</v>
      </c>
      <c r="L4" s="4" t="s">
        <v>203</v>
      </c>
      <c r="M4" s="4" t="s">
        <v>204</v>
      </c>
      <c r="N4" s="4" t="s">
        <v>14</v>
      </c>
    </row>
    <row r="5" customFormat="false" ht="21.75" hidden="false" customHeight="true" outlineLevel="0" collapsed="false">
      <c r="A5" s="5" t="n">
        <v>1</v>
      </c>
      <c r="B5" s="5" t="s">
        <v>15</v>
      </c>
      <c r="C5" s="5" t="s">
        <v>20</v>
      </c>
      <c r="D5" s="5" t="s">
        <v>205</v>
      </c>
      <c r="E5" s="5" t="s">
        <v>206</v>
      </c>
      <c r="F5" s="5" t="s">
        <v>207</v>
      </c>
      <c r="G5" s="5" t="s">
        <v>208</v>
      </c>
      <c r="H5" s="5" t="s">
        <v>209</v>
      </c>
      <c r="I5" s="5" t="s">
        <v>210</v>
      </c>
      <c r="J5" s="5" t="s">
        <v>211</v>
      </c>
      <c r="K5" s="5"/>
      <c r="L5" s="5" t="s">
        <v>212</v>
      </c>
      <c r="M5" s="5" t="s">
        <v>213</v>
      </c>
      <c r="N5" s="5" t="s">
        <v>23</v>
      </c>
    </row>
    <row r="6" customFormat="false" ht="15" hidden="false" customHeight="true" outlineLevel="0" collapsed="false">
      <c r="A6" s="5" t="n">
        <v>2</v>
      </c>
      <c r="B6" s="5" t="s">
        <v>15</v>
      </c>
      <c r="C6" s="5" t="s">
        <v>214</v>
      </c>
      <c r="D6" s="5" t="s">
        <v>215</v>
      </c>
      <c r="E6" s="5" t="s">
        <v>206</v>
      </c>
      <c r="F6" s="5" t="s">
        <v>216</v>
      </c>
      <c r="G6" s="5" t="s">
        <v>217</v>
      </c>
      <c r="H6" s="5" t="s">
        <v>218</v>
      </c>
      <c r="I6" s="5" t="s">
        <v>210</v>
      </c>
      <c r="J6" s="5"/>
      <c r="K6" s="5"/>
      <c r="L6" s="5"/>
      <c r="M6" s="5" t="s">
        <v>219</v>
      </c>
      <c r="N6" s="5" t="s">
        <v>23</v>
      </c>
    </row>
    <row r="7" customFormat="false" ht="15" hidden="false" customHeight="true" outlineLevel="0" collapsed="false">
      <c r="A7" s="5" t="n">
        <v>3</v>
      </c>
      <c r="B7" s="5" t="s">
        <v>15</v>
      </c>
      <c r="C7" s="5" t="s">
        <v>220</v>
      </c>
      <c r="D7" s="5" t="s">
        <v>221</v>
      </c>
      <c r="E7" s="5" t="s">
        <v>206</v>
      </c>
      <c r="F7" s="5" t="s">
        <v>222</v>
      </c>
      <c r="G7" s="5" t="s">
        <v>217</v>
      </c>
      <c r="H7" s="5" t="s">
        <v>223</v>
      </c>
      <c r="I7" s="5" t="s">
        <v>210</v>
      </c>
      <c r="J7" s="5"/>
      <c r="K7" s="5"/>
      <c r="L7" s="5"/>
      <c r="M7" s="5" t="s">
        <v>224</v>
      </c>
      <c r="N7" s="5" t="s">
        <v>23</v>
      </c>
    </row>
    <row r="8" customFormat="false" ht="15" hidden="false" customHeight="true" outlineLevel="0" collapsed="false">
      <c r="A8" s="5" t="n">
        <v>4</v>
      </c>
      <c r="B8" s="5" t="s">
        <v>15</v>
      </c>
      <c r="C8" s="5" t="s">
        <v>225</v>
      </c>
      <c r="D8" s="5" t="s">
        <v>226</v>
      </c>
      <c r="E8" s="5" t="s">
        <v>206</v>
      </c>
      <c r="F8" s="5" t="s">
        <v>227</v>
      </c>
      <c r="G8" s="5" t="s">
        <v>228</v>
      </c>
      <c r="H8" s="5" t="s">
        <v>229</v>
      </c>
      <c r="I8" s="5" t="s">
        <v>230</v>
      </c>
      <c r="J8" s="5"/>
      <c r="K8" s="5"/>
      <c r="L8" s="5"/>
      <c r="M8" s="5" t="s">
        <v>231</v>
      </c>
      <c r="N8" s="5" t="s">
        <v>23</v>
      </c>
    </row>
    <row r="9" customFormat="false" ht="21.75" hidden="false" customHeight="true" outlineLevel="0" collapsed="false">
      <c r="A9" s="5" t="n">
        <v>5</v>
      </c>
      <c r="B9" s="5" t="s">
        <v>15</v>
      </c>
      <c r="C9" s="5" t="s">
        <v>232</v>
      </c>
      <c r="D9" s="5" t="s">
        <v>233</v>
      </c>
      <c r="E9" s="5" t="s">
        <v>234</v>
      </c>
      <c r="F9" s="5" t="s">
        <v>235</v>
      </c>
      <c r="G9" s="5" t="s">
        <v>236</v>
      </c>
      <c r="H9" s="5" t="s">
        <v>237</v>
      </c>
      <c r="I9" s="5" t="s">
        <v>210</v>
      </c>
      <c r="J9" s="5"/>
      <c r="K9" s="5"/>
      <c r="L9" s="5" t="s">
        <v>238</v>
      </c>
      <c r="M9" s="5" t="s">
        <v>239</v>
      </c>
      <c r="N9" s="5" t="s">
        <v>23</v>
      </c>
    </row>
    <row r="10" customFormat="false" ht="15" hidden="false" customHeight="true" outlineLevel="0" collapsed="false">
      <c r="A10" s="5" t="n">
        <v>6</v>
      </c>
      <c r="B10" s="5" t="s">
        <v>15</v>
      </c>
      <c r="C10" s="5" t="s">
        <v>240</v>
      </c>
      <c r="D10" s="5" t="s">
        <v>241</v>
      </c>
      <c r="E10" s="5" t="s">
        <v>234</v>
      </c>
      <c r="F10" s="5" t="s">
        <v>235</v>
      </c>
      <c r="G10" s="5" t="s">
        <v>242</v>
      </c>
      <c r="H10" s="5" t="s">
        <v>243</v>
      </c>
      <c r="I10" s="5" t="s">
        <v>210</v>
      </c>
      <c r="J10" s="5"/>
      <c r="K10" s="5"/>
      <c r="L10" s="5" t="s">
        <v>244</v>
      </c>
      <c r="M10" s="5" t="s">
        <v>245</v>
      </c>
      <c r="N10" s="5" t="s">
        <v>23</v>
      </c>
    </row>
    <row r="11" customFormat="false" ht="21.75" hidden="false" customHeight="true" outlineLevel="0" collapsed="false">
      <c r="A11" s="5" t="n">
        <v>7</v>
      </c>
      <c r="B11" s="5" t="s">
        <v>15</v>
      </c>
      <c r="C11" s="5" t="s">
        <v>246</v>
      </c>
      <c r="D11" s="5" t="s">
        <v>247</v>
      </c>
      <c r="E11" s="5" t="s">
        <v>206</v>
      </c>
      <c r="F11" s="5" t="s">
        <v>207</v>
      </c>
      <c r="G11" s="5" t="s">
        <v>248</v>
      </c>
      <c r="H11" s="5" t="s">
        <v>249</v>
      </c>
      <c r="I11" s="5" t="s">
        <v>210</v>
      </c>
      <c r="J11" s="5"/>
      <c r="K11" s="5"/>
      <c r="L11" s="5"/>
      <c r="M11" s="5" t="s">
        <v>250</v>
      </c>
      <c r="N11" s="5" t="s">
        <v>23</v>
      </c>
    </row>
    <row r="12" customFormat="false" ht="15" hidden="false" customHeight="true" outlineLevel="0" collapsed="false">
      <c r="A12" s="5" t="n">
        <v>8</v>
      </c>
      <c r="B12" s="5" t="s">
        <v>15</v>
      </c>
      <c r="C12" s="5" t="s">
        <v>251</v>
      </c>
      <c r="D12" s="5" t="s">
        <v>252</v>
      </c>
      <c r="E12" s="5" t="s">
        <v>206</v>
      </c>
      <c r="F12" s="5" t="s">
        <v>253</v>
      </c>
      <c r="G12" s="5" t="s">
        <v>254</v>
      </c>
      <c r="H12" s="5" t="s">
        <v>255</v>
      </c>
      <c r="I12" s="5" t="s">
        <v>210</v>
      </c>
      <c r="J12" s="5"/>
      <c r="K12" s="5"/>
      <c r="L12" s="5"/>
      <c r="M12" s="5" t="s">
        <v>256</v>
      </c>
      <c r="N12" s="5" t="s">
        <v>23</v>
      </c>
    </row>
    <row r="13" customFormat="false" ht="15" hidden="false" customHeight="true" outlineLevel="0" collapsed="false">
      <c r="A13" s="5" t="n">
        <v>9</v>
      </c>
      <c r="B13" s="5" t="s">
        <v>15</v>
      </c>
      <c r="C13" s="5" t="s">
        <v>257</v>
      </c>
      <c r="D13" s="5" t="s">
        <v>258</v>
      </c>
      <c r="E13" s="5" t="s">
        <v>206</v>
      </c>
      <c r="F13" s="5" t="s">
        <v>216</v>
      </c>
      <c r="G13" s="5" t="s">
        <v>259</v>
      </c>
      <c r="H13" s="5" t="s">
        <v>218</v>
      </c>
      <c r="I13" s="5" t="s">
        <v>210</v>
      </c>
      <c r="J13" s="5"/>
      <c r="K13" s="5"/>
      <c r="L13" s="5"/>
      <c r="M13" s="5" t="s">
        <v>260</v>
      </c>
      <c r="N13" s="5" t="s">
        <v>23</v>
      </c>
    </row>
    <row r="14" customFormat="false" ht="15" hidden="false" customHeight="true" outlineLevel="0" collapsed="false">
      <c r="A14" s="5" t="n">
        <v>10</v>
      </c>
      <c r="B14" s="5" t="s">
        <v>15</v>
      </c>
      <c r="C14" s="5" t="s">
        <v>261</v>
      </c>
      <c r="D14" s="5" t="s">
        <v>262</v>
      </c>
      <c r="E14" s="5" t="s">
        <v>206</v>
      </c>
      <c r="F14" s="5" t="s">
        <v>216</v>
      </c>
      <c r="G14" s="5" t="s">
        <v>217</v>
      </c>
      <c r="H14" s="5" t="s">
        <v>218</v>
      </c>
      <c r="I14" s="5" t="s">
        <v>210</v>
      </c>
      <c r="J14" s="5"/>
      <c r="K14" s="5"/>
      <c r="L14" s="5"/>
      <c r="M14" s="5" t="s">
        <v>224</v>
      </c>
      <c r="N14" s="5" t="s">
        <v>23</v>
      </c>
    </row>
    <row r="15" customFormat="false" ht="15" hidden="false" customHeight="true" outlineLevel="0" collapsed="false">
      <c r="A15" s="5" t="n">
        <v>11</v>
      </c>
      <c r="B15" s="5" t="s">
        <v>15</v>
      </c>
      <c r="C15" s="5" t="s">
        <v>263</v>
      </c>
      <c r="D15" s="5" t="s">
        <v>264</v>
      </c>
      <c r="E15" s="5" t="s">
        <v>206</v>
      </c>
      <c r="F15" s="5" t="s">
        <v>207</v>
      </c>
      <c r="G15" s="5" t="s">
        <v>265</v>
      </c>
      <c r="H15" s="5" t="s">
        <v>266</v>
      </c>
      <c r="I15" s="5" t="s">
        <v>210</v>
      </c>
      <c r="J15" s="5"/>
      <c r="K15" s="5"/>
      <c r="L15" s="5"/>
      <c r="M15" s="5" t="s">
        <v>224</v>
      </c>
      <c r="N15" s="5" t="s">
        <v>23</v>
      </c>
    </row>
    <row r="16" customFormat="false" ht="21.75" hidden="false" customHeight="true" outlineLevel="0" collapsed="false">
      <c r="A16" s="5" t="n">
        <v>12</v>
      </c>
      <c r="B16" s="5" t="s">
        <v>15</v>
      </c>
      <c r="C16" s="5" t="s">
        <v>267</v>
      </c>
      <c r="D16" s="5" t="s">
        <v>268</v>
      </c>
      <c r="E16" s="5" t="s">
        <v>206</v>
      </c>
      <c r="F16" s="5" t="s">
        <v>222</v>
      </c>
      <c r="G16" s="5" t="s">
        <v>217</v>
      </c>
      <c r="H16" s="5" t="s">
        <v>269</v>
      </c>
      <c r="I16" s="5" t="s">
        <v>230</v>
      </c>
      <c r="J16" s="5"/>
      <c r="K16" s="5"/>
      <c r="L16" s="5" t="s">
        <v>270</v>
      </c>
      <c r="M16" s="5" t="s">
        <v>271</v>
      </c>
      <c r="N16" s="5" t="s">
        <v>23</v>
      </c>
    </row>
    <row r="17" customFormat="false" ht="15" hidden="false" customHeight="true" outlineLevel="0" collapsed="false">
      <c r="A17" s="5" t="n">
        <v>13</v>
      </c>
      <c r="B17" s="5" t="s">
        <v>24</v>
      </c>
      <c r="C17" s="5" t="s">
        <v>27</v>
      </c>
      <c r="D17" s="5" t="s">
        <v>272</v>
      </c>
      <c r="E17" s="5" t="s">
        <v>206</v>
      </c>
      <c r="F17" s="5" t="s">
        <v>207</v>
      </c>
      <c r="G17" s="5" t="s">
        <v>273</v>
      </c>
      <c r="H17" s="5" t="s">
        <v>274</v>
      </c>
      <c r="I17" s="5" t="s">
        <v>210</v>
      </c>
      <c r="J17" s="5" t="s">
        <v>211</v>
      </c>
      <c r="K17" s="5"/>
      <c r="L17" s="5"/>
      <c r="M17" s="5" t="s">
        <v>275</v>
      </c>
      <c r="N17" s="5" t="s">
        <v>23</v>
      </c>
    </row>
    <row r="18" customFormat="false" ht="15" hidden="false" customHeight="true" outlineLevel="0" collapsed="false">
      <c r="A18" s="5" t="n">
        <v>14</v>
      </c>
      <c r="B18" s="5" t="s">
        <v>24</v>
      </c>
      <c r="C18" s="5" t="s">
        <v>20</v>
      </c>
      <c r="D18" s="5" t="s">
        <v>205</v>
      </c>
      <c r="E18" s="5" t="s">
        <v>206</v>
      </c>
      <c r="F18" s="5" t="s">
        <v>207</v>
      </c>
      <c r="G18" s="5"/>
      <c r="H18" s="5" t="s">
        <v>276</v>
      </c>
      <c r="I18" s="5" t="s">
        <v>210</v>
      </c>
      <c r="J18" s="5" t="s">
        <v>277</v>
      </c>
      <c r="K18" s="5" t="s">
        <v>278</v>
      </c>
      <c r="L18" s="5" t="s">
        <v>212</v>
      </c>
      <c r="M18" s="5"/>
      <c r="N18" s="5" t="s">
        <v>23</v>
      </c>
    </row>
    <row r="19" customFormat="false" ht="15" hidden="false" customHeight="true" outlineLevel="0" collapsed="false">
      <c r="A19" s="5" t="n">
        <v>15</v>
      </c>
      <c r="B19" s="5" t="s">
        <v>24</v>
      </c>
      <c r="C19" s="5" t="s">
        <v>279</v>
      </c>
      <c r="D19" s="5" t="s">
        <v>280</v>
      </c>
      <c r="E19" s="5" t="s">
        <v>234</v>
      </c>
      <c r="F19" s="5" t="s">
        <v>235</v>
      </c>
      <c r="G19" s="5" t="s">
        <v>236</v>
      </c>
      <c r="H19" s="5" t="s">
        <v>281</v>
      </c>
      <c r="I19" s="5" t="s">
        <v>210</v>
      </c>
      <c r="J19" s="5"/>
      <c r="K19" s="5"/>
      <c r="L19" s="5"/>
      <c r="M19" s="5" t="s">
        <v>282</v>
      </c>
      <c r="N19" s="5" t="s">
        <v>23</v>
      </c>
    </row>
    <row r="20" customFormat="false" ht="15" hidden="false" customHeight="true" outlineLevel="0" collapsed="false">
      <c r="A20" s="5" t="n">
        <v>16</v>
      </c>
      <c r="B20" s="5" t="s">
        <v>24</v>
      </c>
      <c r="C20" s="5" t="s">
        <v>283</v>
      </c>
      <c r="D20" s="5" t="s">
        <v>284</v>
      </c>
      <c r="E20" s="5" t="s">
        <v>285</v>
      </c>
      <c r="F20" s="5" t="s">
        <v>286</v>
      </c>
      <c r="G20" s="5" t="s">
        <v>287</v>
      </c>
      <c r="H20" s="5" t="s">
        <v>288</v>
      </c>
      <c r="I20" s="5" t="s">
        <v>210</v>
      </c>
      <c r="J20" s="5"/>
      <c r="K20" s="5"/>
      <c r="L20" s="5"/>
      <c r="M20" s="5"/>
      <c r="N20" s="5" t="s">
        <v>23</v>
      </c>
    </row>
    <row r="21" customFormat="false" ht="15" hidden="false" customHeight="true" outlineLevel="0" collapsed="false">
      <c r="A21" s="5" t="n">
        <v>17</v>
      </c>
      <c r="B21" s="5" t="s">
        <v>24</v>
      </c>
      <c r="C21" s="5" t="s">
        <v>289</v>
      </c>
      <c r="D21" s="5" t="s">
        <v>290</v>
      </c>
      <c r="E21" s="5" t="s">
        <v>234</v>
      </c>
      <c r="F21" s="5" t="s">
        <v>235</v>
      </c>
      <c r="G21" s="5" t="s">
        <v>236</v>
      </c>
      <c r="H21" s="5" t="s">
        <v>291</v>
      </c>
      <c r="I21" s="5" t="s">
        <v>210</v>
      </c>
      <c r="J21" s="5"/>
      <c r="K21" s="5"/>
      <c r="L21" s="5"/>
      <c r="M21" s="5" t="s">
        <v>85</v>
      </c>
      <c r="N21" s="5" t="s">
        <v>23</v>
      </c>
    </row>
    <row r="22" customFormat="false" ht="21.75" hidden="false" customHeight="true" outlineLevel="0" collapsed="false">
      <c r="A22" s="5" t="n">
        <v>18</v>
      </c>
      <c r="B22" s="5" t="s">
        <v>24</v>
      </c>
      <c r="C22" s="5" t="s">
        <v>292</v>
      </c>
      <c r="D22" s="5" t="s">
        <v>293</v>
      </c>
      <c r="E22" s="5" t="s">
        <v>294</v>
      </c>
      <c r="F22" s="5" t="s">
        <v>295</v>
      </c>
      <c r="G22" s="5" t="s">
        <v>296</v>
      </c>
      <c r="H22" s="5" t="s">
        <v>297</v>
      </c>
      <c r="I22" s="5" t="s">
        <v>210</v>
      </c>
      <c r="J22" s="5"/>
      <c r="K22" s="5"/>
      <c r="L22" s="5"/>
      <c r="M22" s="5" t="s">
        <v>298</v>
      </c>
      <c r="N22" s="5" t="s">
        <v>23</v>
      </c>
    </row>
    <row r="23" customFormat="false" ht="21.75" hidden="false" customHeight="true" outlineLevel="0" collapsed="false">
      <c r="A23" s="5" t="n">
        <v>19</v>
      </c>
      <c r="B23" s="5" t="s">
        <v>24</v>
      </c>
      <c r="C23" s="5" t="s">
        <v>299</v>
      </c>
      <c r="D23" s="5" t="s">
        <v>300</v>
      </c>
      <c r="E23" s="5" t="s">
        <v>301</v>
      </c>
      <c r="F23" s="5" t="s">
        <v>302</v>
      </c>
      <c r="G23" s="5" t="s">
        <v>303</v>
      </c>
      <c r="H23" s="5"/>
      <c r="I23" s="5" t="s">
        <v>210</v>
      </c>
      <c r="J23" s="5"/>
      <c r="K23" s="5"/>
      <c r="L23" s="5" t="s">
        <v>304</v>
      </c>
      <c r="M23" s="5" t="s">
        <v>305</v>
      </c>
      <c r="N23" s="5" t="s">
        <v>23</v>
      </c>
    </row>
    <row r="24" customFormat="false" ht="21.75" hidden="false" customHeight="true" outlineLevel="0" collapsed="false">
      <c r="A24" s="5" t="n">
        <v>20</v>
      </c>
      <c r="B24" s="5" t="s">
        <v>24</v>
      </c>
      <c r="C24" s="5" t="s">
        <v>306</v>
      </c>
      <c r="D24" s="5" t="s">
        <v>307</v>
      </c>
      <c r="E24" s="5" t="s">
        <v>28</v>
      </c>
      <c r="F24" s="5" t="s">
        <v>253</v>
      </c>
      <c r="G24" s="5" t="s">
        <v>308</v>
      </c>
      <c r="H24" s="5" t="s">
        <v>309</v>
      </c>
      <c r="I24" s="5" t="s">
        <v>210</v>
      </c>
      <c r="J24" s="5"/>
      <c r="K24" s="5"/>
      <c r="L24" s="5" t="s">
        <v>310</v>
      </c>
      <c r="M24" s="5" t="s">
        <v>311</v>
      </c>
      <c r="N24" s="5" t="s">
        <v>23</v>
      </c>
    </row>
    <row r="25" customFormat="false" ht="15" hidden="false" customHeight="true" outlineLevel="0" collapsed="false">
      <c r="A25" s="5" t="n">
        <v>21</v>
      </c>
      <c r="B25" s="5" t="s">
        <v>31</v>
      </c>
      <c r="C25" s="5" t="s">
        <v>34</v>
      </c>
      <c r="D25" s="5" t="s">
        <v>312</v>
      </c>
      <c r="E25" s="5" t="s">
        <v>206</v>
      </c>
      <c r="F25" s="5" t="s">
        <v>253</v>
      </c>
      <c r="G25" s="5" t="s">
        <v>313</v>
      </c>
      <c r="H25" s="5" t="s">
        <v>314</v>
      </c>
      <c r="I25" s="5" t="s">
        <v>210</v>
      </c>
      <c r="J25" s="5" t="s">
        <v>211</v>
      </c>
      <c r="K25" s="5"/>
      <c r="L25" s="5" t="s">
        <v>315</v>
      </c>
      <c r="M25" s="5"/>
      <c r="N25" s="5" t="s">
        <v>23</v>
      </c>
    </row>
    <row r="26" customFormat="false" ht="15" hidden="false" customHeight="true" outlineLevel="0" collapsed="false">
      <c r="A26" s="5" t="n">
        <v>22</v>
      </c>
      <c r="B26" s="5" t="s">
        <v>31</v>
      </c>
      <c r="C26" s="5" t="s">
        <v>27</v>
      </c>
      <c r="D26" s="5" t="s">
        <v>272</v>
      </c>
      <c r="E26" s="5" t="s">
        <v>206</v>
      </c>
      <c r="F26" s="5" t="s">
        <v>207</v>
      </c>
      <c r="G26" s="5"/>
      <c r="H26" s="5" t="s">
        <v>316</v>
      </c>
      <c r="I26" s="5" t="s">
        <v>210</v>
      </c>
      <c r="J26" s="5" t="s">
        <v>277</v>
      </c>
      <c r="K26" s="5" t="s">
        <v>317</v>
      </c>
      <c r="L26" s="5"/>
      <c r="M26" s="5"/>
      <c r="N26" s="5" t="s">
        <v>23</v>
      </c>
    </row>
    <row r="27" customFormat="false" ht="15" hidden="false" customHeight="true" outlineLevel="0" collapsed="false">
      <c r="A27" s="5" t="n">
        <v>23</v>
      </c>
      <c r="B27" s="5" t="s">
        <v>31</v>
      </c>
      <c r="C27" s="5" t="s">
        <v>318</v>
      </c>
      <c r="D27" s="5" t="s">
        <v>319</v>
      </c>
      <c r="E27" s="5" t="s">
        <v>206</v>
      </c>
      <c r="F27" s="5" t="s">
        <v>216</v>
      </c>
      <c r="G27" s="5" t="s">
        <v>320</v>
      </c>
      <c r="H27" s="5" t="s">
        <v>218</v>
      </c>
      <c r="I27" s="5" t="s">
        <v>210</v>
      </c>
      <c r="J27" s="5"/>
      <c r="K27" s="5"/>
      <c r="L27" s="5"/>
      <c r="M27" s="5"/>
      <c r="N27" s="5" t="s">
        <v>23</v>
      </c>
    </row>
    <row r="28" customFormat="false" ht="15" hidden="false" customHeight="true" outlineLevel="0" collapsed="false">
      <c r="A28" s="5" t="n">
        <v>24</v>
      </c>
      <c r="B28" s="5" t="s">
        <v>31</v>
      </c>
      <c r="C28" s="5" t="s">
        <v>321</v>
      </c>
      <c r="D28" s="5" t="s">
        <v>322</v>
      </c>
      <c r="E28" s="5" t="s">
        <v>234</v>
      </c>
      <c r="F28" s="5" t="s">
        <v>323</v>
      </c>
      <c r="G28" s="5" t="s">
        <v>236</v>
      </c>
      <c r="H28" s="5" t="s">
        <v>324</v>
      </c>
      <c r="I28" s="5" t="s">
        <v>210</v>
      </c>
      <c r="J28" s="5"/>
      <c r="K28" s="5"/>
      <c r="L28" s="5" t="s">
        <v>325</v>
      </c>
      <c r="M28" s="5"/>
      <c r="N28" s="5" t="s">
        <v>23</v>
      </c>
    </row>
    <row r="29" customFormat="false" ht="15" hidden="false" customHeight="true" outlineLevel="0" collapsed="false">
      <c r="A29" s="5" t="n">
        <v>25</v>
      </c>
      <c r="B29" s="5" t="s">
        <v>31</v>
      </c>
      <c r="C29" s="5" t="s">
        <v>326</v>
      </c>
      <c r="D29" s="5" t="s">
        <v>327</v>
      </c>
      <c r="E29" s="5" t="s">
        <v>206</v>
      </c>
      <c r="F29" s="5" t="s">
        <v>222</v>
      </c>
      <c r="G29" s="5" t="s">
        <v>328</v>
      </c>
      <c r="H29" s="5" t="s">
        <v>223</v>
      </c>
      <c r="I29" s="5" t="s">
        <v>210</v>
      </c>
      <c r="J29" s="5"/>
      <c r="K29" s="5"/>
      <c r="L29" s="5" t="s">
        <v>329</v>
      </c>
      <c r="M29" s="5" t="s">
        <v>330</v>
      </c>
      <c r="N29" s="5" t="s">
        <v>23</v>
      </c>
    </row>
    <row r="30" customFormat="false" ht="15" hidden="false" customHeight="true" outlineLevel="0" collapsed="false">
      <c r="A30" s="5" t="n">
        <v>26</v>
      </c>
      <c r="B30" s="5" t="s">
        <v>31</v>
      </c>
      <c r="C30" s="5" t="s">
        <v>331</v>
      </c>
      <c r="D30" s="5" t="s">
        <v>332</v>
      </c>
      <c r="E30" s="5" t="s">
        <v>206</v>
      </c>
      <c r="F30" s="5" t="s">
        <v>333</v>
      </c>
      <c r="G30" s="5"/>
      <c r="H30" s="5" t="s">
        <v>334</v>
      </c>
      <c r="I30" s="5" t="s">
        <v>230</v>
      </c>
      <c r="J30" s="5"/>
      <c r="K30" s="5"/>
      <c r="L30" s="5"/>
      <c r="M30" s="5"/>
      <c r="N30" s="5" t="s">
        <v>23</v>
      </c>
    </row>
    <row r="31" customFormat="false" ht="21.75" hidden="false" customHeight="true" outlineLevel="0" collapsed="false">
      <c r="A31" s="5" t="n">
        <v>27</v>
      </c>
      <c r="B31" s="5" t="s">
        <v>36</v>
      </c>
      <c r="C31" s="5" t="s">
        <v>39</v>
      </c>
      <c r="D31" s="5" t="s">
        <v>335</v>
      </c>
      <c r="E31" s="5" t="s">
        <v>206</v>
      </c>
      <c r="F31" s="5" t="s">
        <v>253</v>
      </c>
      <c r="G31" s="5" t="s">
        <v>336</v>
      </c>
      <c r="H31" s="5" t="s">
        <v>337</v>
      </c>
      <c r="I31" s="5" t="s">
        <v>210</v>
      </c>
      <c r="J31" s="5" t="s">
        <v>211</v>
      </c>
      <c r="K31" s="5"/>
      <c r="L31" s="5" t="s">
        <v>315</v>
      </c>
      <c r="M31" s="5" t="s">
        <v>338</v>
      </c>
      <c r="N31" s="5" t="s">
        <v>23</v>
      </c>
    </row>
    <row r="32" customFormat="false" ht="15" hidden="false" customHeight="true" outlineLevel="0" collapsed="false">
      <c r="A32" s="5" t="n">
        <v>28</v>
      </c>
      <c r="B32" s="5" t="s">
        <v>36</v>
      </c>
      <c r="C32" s="5" t="s">
        <v>20</v>
      </c>
      <c r="D32" s="5" t="s">
        <v>205</v>
      </c>
      <c r="E32" s="5" t="s">
        <v>206</v>
      </c>
      <c r="F32" s="5" t="s">
        <v>207</v>
      </c>
      <c r="G32" s="5"/>
      <c r="H32" s="5" t="s">
        <v>276</v>
      </c>
      <c r="I32" s="5" t="s">
        <v>210</v>
      </c>
      <c r="J32" s="5" t="s">
        <v>277</v>
      </c>
      <c r="K32" s="5" t="s">
        <v>278</v>
      </c>
      <c r="L32" s="5" t="s">
        <v>212</v>
      </c>
      <c r="M32" s="5"/>
      <c r="N32" s="5" t="s">
        <v>23</v>
      </c>
    </row>
    <row r="33" customFormat="false" ht="21.75" hidden="false" customHeight="true" outlineLevel="0" collapsed="false">
      <c r="A33" s="5" t="n">
        <v>29</v>
      </c>
      <c r="B33" s="5" t="s">
        <v>36</v>
      </c>
      <c r="C33" s="5" t="s">
        <v>339</v>
      </c>
      <c r="D33" s="5" t="s">
        <v>340</v>
      </c>
      <c r="E33" s="5" t="s">
        <v>206</v>
      </c>
      <c r="F33" s="5" t="s">
        <v>216</v>
      </c>
      <c r="G33" s="5" t="s">
        <v>341</v>
      </c>
      <c r="H33" s="5" t="s">
        <v>218</v>
      </c>
      <c r="I33" s="5" t="s">
        <v>210</v>
      </c>
      <c r="J33" s="5"/>
      <c r="K33" s="5"/>
      <c r="L33" s="5"/>
      <c r="M33" s="5"/>
      <c r="N33" s="5" t="s">
        <v>23</v>
      </c>
    </row>
    <row r="34" customFormat="false" ht="32.25" hidden="false" customHeight="true" outlineLevel="0" collapsed="false">
      <c r="A34" s="5" t="n">
        <v>30</v>
      </c>
      <c r="B34" s="5" t="s">
        <v>36</v>
      </c>
      <c r="C34" s="5" t="s">
        <v>342</v>
      </c>
      <c r="D34" s="5" t="s">
        <v>343</v>
      </c>
      <c r="E34" s="5" t="s">
        <v>344</v>
      </c>
      <c r="F34" s="5" t="s">
        <v>345</v>
      </c>
      <c r="G34" s="5" t="s">
        <v>308</v>
      </c>
      <c r="H34" s="5" t="s">
        <v>346</v>
      </c>
      <c r="I34" s="5" t="s">
        <v>210</v>
      </c>
      <c r="J34" s="5"/>
      <c r="K34" s="5"/>
      <c r="L34" s="5"/>
      <c r="M34" s="5" t="s">
        <v>347</v>
      </c>
      <c r="N34" s="5" t="s">
        <v>23</v>
      </c>
    </row>
    <row r="35" customFormat="false" ht="15" hidden="false" customHeight="true" outlineLevel="0" collapsed="false">
      <c r="A35" s="5" t="n">
        <v>31</v>
      </c>
      <c r="B35" s="5" t="s">
        <v>36</v>
      </c>
      <c r="C35" s="5" t="s">
        <v>348</v>
      </c>
      <c r="D35" s="5" t="s">
        <v>349</v>
      </c>
      <c r="E35" s="5" t="s">
        <v>294</v>
      </c>
      <c r="F35" s="5" t="s">
        <v>295</v>
      </c>
      <c r="G35" s="5" t="s">
        <v>296</v>
      </c>
      <c r="H35" s="5" t="s">
        <v>350</v>
      </c>
      <c r="I35" s="5" t="s">
        <v>210</v>
      </c>
      <c r="J35" s="5"/>
      <c r="K35" s="5"/>
      <c r="L35" s="5"/>
      <c r="M35" s="5" t="s">
        <v>351</v>
      </c>
      <c r="N35" s="5" t="s">
        <v>23</v>
      </c>
    </row>
    <row r="36" customFormat="false" ht="21.75" hidden="false" customHeight="true" outlineLevel="0" collapsed="false">
      <c r="A36" s="5" t="n">
        <v>32</v>
      </c>
      <c r="B36" s="5" t="s">
        <v>36</v>
      </c>
      <c r="C36" s="5" t="s">
        <v>352</v>
      </c>
      <c r="D36" s="5" t="s">
        <v>353</v>
      </c>
      <c r="E36" s="5" t="s">
        <v>206</v>
      </c>
      <c r="F36" s="5" t="s">
        <v>253</v>
      </c>
      <c r="G36" s="5"/>
      <c r="H36" s="5" t="s">
        <v>354</v>
      </c>
      <c r="I36" s="5" t="s">
        <v>210</v>
      </c>
      <c r="J36" s="5"/>
      <c r="K36" s="5"/>
      <c r="L36" s="5"/>
      <c r="M36" s="5" t="s">
        <v>355</v>
      </c>
      <c r="N36" s="5" t="s">
        <v>23</v>
      </c>
    </row>
    <row r="37" customFormat="false" ht="15" hidden="false" customHeight="true" outlineLevel="0" collapsed="false">
      <c r="A37" s="5" t="n">
        <v>33</v>
      </c>
      <c r="B37" s="5" t="s">
        <v>36</v>
      </c>
      <c r="C37" s="5" t="s">
        <v>356</v>
      </c>
      <c r="D37" s="5" t="s">
        <v>357</v>
      </c>
      <c r="E37" s="5" t="s">
        <v>358</v>
      </c>
      <c r="F37" s="5" t="s">
        <v>359</v>
      </c>
      <c r="G37" s="5" t="s">
        <v>360</v>
      </c>
      <c r="H37" s="5"/>
      <c r="I37" s="5" t="s">
        <v>210</v>
      </c>
      <c r="J37" s="5"/>
      <c r="K37" s="5"/>
      <c r="L37" s="5"/>
      <c r="M37" s="5"/>
      <c r="N37" s="5" t="s">
        <v>23</v>
      </c>
    </row>
    <row r="38" customFormat="false" ht="21.75" hidden="false" customHeight="true" outlineLevel="0" collapsed="false">
      <c r="A38" s="5" t="n">
        <v>34</v>
      </c>
      <c r="B38" s="5" t="s">
        <v>36</v>
      </c>
      <c r="C38" s="5" t="s">
        <v>361</v>
      </c>
      <c r="D38" s="5" t="s">
        <v>362</v>
      </c>
      <c r="E38" s="5" t="s">
        <v>358</v>
      </c>
      <c r="F38" s="5" t="s">
        <v>359</v>
      </c>
      <c r="G38" s="5" t="s">
        <v>360</v>
      </c>
      <c r="H38" s="5" t="s">
        <v>363</v>
      </c>
      <c r="I38" s="5" t="s">
        <v>230</v>
      </c>
      <c r="J38" s="5"/>
      <c r="K38" s="5"/>
      <c r="L38" s="5" t="s">
        <v>364</v>
      </c>
      <c r="M38" s="5" t="s">
        <v>365</v>
      </c>
      <c r="N38" s="5" t="s">
        <v>23</v>
      </c>
    </row>
    <row r="39" customFormat="false" ht="15" hidden="false" customHeight="true" outlineLevel="0" collapsed="false">
      <c r="A39" s="5" t="n">
        <v>35</v>
      </c>
      <c r="B39" s="5" t="s">
        <v>42</v>
      </c>
      <c r="C39" s="5" t="s">
        <v>46</v>
      </c>
      <c r="D39" s="5" t="s">
        <v>366</v>
      </c>
      <c r="E39" s="5" t="s">
        <v>206</v>
      </c>
      <c r="F39" s="5" t="s">
        <v>253</v>
      </c>
      <c r="G39" s="5" t="s">
        <v>367</v>
      </c>
      <c r="H39" s="5" t="s">
        <v>368</v>
      </c>
      <c r="I39" s="5" t="s">
        <v>210</v>
      </c>
      <c r="J39" s="5" t="s">
        <v>211</v>
      </c>
      <c r="K39" s="5"/>
      <c r="L39" s="5" t="s">
        <v>315</v>
      </c>
      <c r="M39" s="5"/>
      <c r="N39" s="5" t="s">
        <v>23</v>
      </c>
    </row>
    <row r="40" customFormat="false" ht="21.75" hidden="false" customHeight="true" outlineLevel="0" collapsed="false">
      <c r="A40" s="5" t="n">
        <v>36</v>
      </c>
      <c r="B40" s="5" t="s">
        <v>42</v>
      </c>
      <c r="C40" s="5" t="s">
        <v>369</v>
      </c>
      <c r="D40" s="5" t="s">
        <v>370</v>
      </c>
      <c r="E40" s="5" t="s">
        <v>206</v>
      </c>
      <c r="F40" s="5" t="s">
        <v>207</v>
      </c>
      <c r="G40" s="5" t="s">
        <v>265</v>
      </c>
      <c r="H40" s="5" t="s">
        <v>371</v>
      </c>
      <c r="I40" s="5" t="s">
        <v>210</v>
      </c>
      <c r="J40" s="5" t="s">
        <v>372</v>
      </c>
      <c r="K40" s="5"/>
      <c r="L40" s="5"/>
      <c r="M40" s="5" t="s">
        <v>373</v>
      </c>
      <c r="N40" s="5" t="s">
        <v>23</v>
      </c>
    </row>
    <row r="41" customFormat="false" ht="15" hidden="false" customHeight="true" outlineLevel="0" collapsed="false">
      <c r="A41" s="5" t="n">
        <v>37</v>
      </c>
      <c r="B41" s="5" t="s">
        <v>42</v>
      </c>
      <c r="C41" s="5" t="s">
        <v>374</v>
      </c>
      <c r="D41" s="5" t="s">
        <v>375</v>
      </c>
      <c r="E41" s="5" t="s">
        <v>206</v>
      </c>
      <c r="F41" s="5" t="s">
        <v>222</v>
      </c>
      <c r="G41" s="5" t="s">
        <v>376</v>
      </c>
      <c r="H41" s="5" t="s">
        <v>377</v>
      </c>
      <c r="I41" s="5" t="s">
        <v>210</v>
      </c>
      <c r="J41" s="5"/>
      <c r="K41" s="5"/>
      <c r="L41" s="5"/>
      <c r="M41" s="5" t="s">
        <v>378</v>
      </c>
      <c r="N41" s="5" t="s">
        <v>23</v>
      </c>
    </row>
    <row r="42" customFormat="false" ht="15" hidden="false" customHeight="true" outlineLevel="0" collapsed="false">
      <c r="A42" s="5" t="n">
        <v>38</v>
      </c>
      <c r="B42" s="5" t="s">
        <v>42</v>
      </c>
      <c r="C42" s="5" t="s">
        <v>379</v>
      </c>
      <c r="D42" s="5" t="s">
        <v>380</v>
      </c>
      <c r="E42" s="5" t="s">
        <v>381</v>
      </c>
      <c r="F42" s="5" t="s">
        <v>253</v>
      </c>
      <c r="G42" s="5" t="s">
        <v>308</v>
      </c>
      <c r="H42" s="5" t="s">
        <v>382</v>
      </c>
      <c r="I42" s="5" t="s">
        <v>210</v>
      </c>
      <c r="J42" s="5"/>
      <c r="K42" s="5"/>
      <c r="L42" s="5"/>
      <c r="M42" s="5" t="s">
        <v>383</v>
      </c>
      <c r="N42" s="5" t="s">
        <v>23</v>
      </c>
    </row>
    <row r="43" customFormat="false" ht="21.75" hidden="false" customHeight="true" outlineLevel="0" collapsed="false">
      <c r="A43" s="5" t="n">
        <v>39</v>
      </c>
      <c r="B43" s="5" t="s">
        <v>42</v>
      </c>
      <c r="C43" s="5" t="s">
        <v>306</v>
      </c>
      <c r="D43" s="5" t="s">
        <v>384</v>
      </c>
      <c r="E43" s="5" t="s">
        <v>47</v>
      </c>
      <c r="F43" s="5" t="s">
        <v>253</v>
      </c>
      <c r="G43" s="5" t="s">
        <v>308</v>
      </c>
      <c r="H43" s="5" t="s">
        <v>385</v>
      </c>
      <c r="I43" s="5" t="s">
        <v>210</v>
      </c>
      <c r="J43" s="5"/>
      <c r="K43" s="5"/>
      <c r="L43" s="5" t="s">
        <v>386</v>
      </c>
      <c r="M43" s="5" t="s">
        <v>387</v>
      </c>
      <c r="N43" s="5" t="s">
        <v>23</v>
      </c>
    </row>
    <row r="44" customFormat="false" ht="21.75" hidden="false" customHeight="true" outlineLevel="0" collapsed="false">
      <c r="A44" s="5" t="n">
        <v>40</v>
      </c>
      <c r="B44" s="5" t="s">
        <v>42</v>
      </c>
      <c r="C44" s="5" t="s">
        <v>388</v>
      </c>
      <c r="D44" s="5" t="s">
        <v>389</v>
      </c>
      <c r="E44" s="5" t="s">
        <v>234</v>
      </c>
      <c r="F44" s="5" t="s">
        <v>235</v>
      </c>
      <c r="G44" s="5" t="s">
        <v>236</v>
      </c>
      <c r="H44" s="5" t="s">
        <v>390</v>
      </c>
      <c r="I44" s="5" t="s">
        <v>210</v>
      </c>
      <c r="J44" s="5"/>
      <c r="K44" s="5"/>
      <c r="L44" s="5" t="s">
        <v>391</v>
      </c>
      <c r="M44" s="5" t="s">
        <v>392</v>
      </c>
      <c r="N44" s="5" t="s">
        <v>23</v>
      </c>
    </row>
    <row r="45" customFormat="false" ht="15" hidden="false" customHeight="true" outlineLevel="0" collapsed="false">
      <c r="A45" s="5" t="n">
        <v>41</v>
      </c>
      <c r="B45" s="5" t="s">
        <v>42</v>
      </c>
      <c r="C45" s="5" t="s">
        <v>393</v>
      </c>
      <c r="D45" s="5" t="s">
        <v>394</v>
      </c>
      <c r="E45" s="5" t="s">
        <v>301</v>
      </c>
      <c r="F45" s="5" t="s">
        <v>302</v>
      </c>
      <c r="G45" s="5" t="s">
        <v>303</v>
      </c>
      <c r="H45" s="5"/>
      <c r="I45" s="5" t="s">
        <v>210</v>
      </c>
      <c r="J45" s="5"/>
      <c r="K45" s="5"/>
      <c r="L45" s="5" t="s">
        <v>304</v>
      </c>
      <c r="M45" s="5" t="s">
        <v>395</v>
      </c>
      <c r="N45" s="5" t="s">
        <v>23</v>
      </c>
    </row>
    <row r="46" customFormat="false" ht="15" hidden="false" customHeight="true" outlineLevel="0" collapsed="false">
      <c r="A46" s="5" t="n">
        <v>42</v>
      </c>
      <c r="B46" s="5" t="s">
        <v>42</v>
      </c>
      <c r="C46" s="5" t="s">
        <v>396</v>
      </c>
      <c r="D46" s="5" t="s">
        <v>397</v>
      </c>
      <c r="E46" s="5" t="s">
        <v>398</v>
      </c>
      <c r="F46" s="5" t="s">
        <v>399</v>
      </c>
      <c r="G46" s="5" t="s">
        <v>400</v>
      </c>
      <c r="H46" s="5"/>
      <c r="I46" s="5" t="s">
        <v>210</v>
      </c>
      <c r="J46" s="5"/>
      <c r="K46" s="5"/>
      <c r="L46" s="5" t="s">
        <v>401</v>
      </c>
      <c r="M46" s="5"/>
      <c r="N46" s="5" t="s">
        <v>23</v>
      </c>
    </row>
    <row r="47" customFormat="false" ht="21.75" hidden="false" customHeight="true" outlineLevel="0" collapsed="false">
      <c r="A47" s="5" t="n">
        <v>43</v>
      </c>
      <c r="B47" s="5" t="s">
        <v>42</v>
      </c>
      <c r="C47" s="5" t="s">
        <v>402</v>
      </c>
      <c r="D47" s="5" t="s">
        <v>403</v>
      </c>
      <c r="E47" s="5" t="s">
        <v>398</v>
      </c>
      <c r="F47" s="5" t="s">
        <v>399</v>
      </c>
      <c r="G47" s="5" t="s">
        <v>400</v>
      </c>
      <c r="H47" s="5" t="s">
        <v>404</v>
      </c>
      <c r="I47" s="5" t="s">
        <v>230</v>
      </c>
      <c r="J47" s="5"/>
      <c r="K47" s="5"/>
      <c r="L47" s="5"/>
      <c r="M47" s="5" t="s">
        <v>405</v>
      </c>
      <c r="N47" s="5" t="s">
        <v>23</v>
      </c>
    </row>
    <row r="48" customFormat="false" ht="15" hidden="false" customHeight="true" outlineLevel="0" collapsed="false">
      <c r="A48" s="5" t="n">
        <v>44</v>
      </c>
      <c r="B48" s="5" t="s">
        <v>50</v>
      </c>
      <c r="C48" s="5" t="s">
        <v>53</v>
      </c>
      <c r="D48" s="5" t="s">
        <v>406</v>
      </c>
      <c r="E48" s="5" t="s">
        <v>206</v>
      </c>
      <c r="F48" s="5" t="s">
        <v>253</v>
      </c>
      <c r="G48" s="5" t="s">
        <v>407</v>
      </c>
      <c r="H48" s="5" t="s">
        <v>314</v>
      </c>
      <c r="I48" s="5" t="s">
        <v>210</v>
      </c>
      <c r="J48" s="5" t="s">
        <v>211</v>
      </c>
      <c r="K48" s="5"/>
      <c r="L48" s="5" t="s">
        <v>315</v>
      </c>
      <c r="M48" s="5" t="s">
        <v>408</v>
      </c>
      <c r="N48" s="5" t="s">
        <v>23</v>
      </c>
    </row>
    <row r="49" customFormat="false" ht="15" hidden="false" customHeight="true" outlineLevel="0" collapsed="false">
      <c r="A49" s="5" t="n">
        <v>45</v>
      </c>
      <c r="B49" s="5" t="s">
        <v>50</v>
      </c>
      <c r="C49" s="5" t="s">
        <v>46</v>
      </c>
      <c r="D49" s="5" t="s">
        <v>409</v>
      </c>
      <c r="E49" s="5" t="s">
        <v>206</v>
      </c>
      <c r="F49" s="5" t="s">
        <v>253</v>
      </c>
      <c r="G49" s="5"/>
      <c r="H49" s="5" t="s">
        <v>410</v>
      </c>
      <c r="I49" s="5" t="s">
        <v>230</v>
      </c>
      <c r="J49" s="5" t="s">
        <v>277</v>
      </c>
      <c r="K49" s="5" t="s">
        <v>411</v>
      </c>
      <c r="L49" s="5"/>
      <c r="M49" s="5" t="s">
        <v>412</v>
      </c>
      <c r="N49" s="5" t="s">
        <v>23</v>
      </c>
    </row>
    <row r="50" customFormat="false" ht="15" hidden="false" customHeight="true" outlineLevel="0" collapsed="false">
      <c r="A50" s="5" t="n">
        <v>46</v>
      </c>
      <c r="B50" s="5" t="s">
        <v>50</v>
      </c>
      <c r="C50" s="5" t="s">
        <v>413</v>
      </c>
      <c r="D50" s="5" t="s">
        <v>414</v>
      </c>
      <c r="E50" s="5" t="s">
        <v>398</v>
      </c>
      <c r="F50" s="5" t="s">
        <v>399</v>
      </c>
      <c r="G50" s="5" t="s">
        <v>400</v>
      </c>
      <c r="H50" s="5"/>
      <c r="I50" s="5" t="s">
        <v>210</v>
      </c>
      <c r="J50" s="5"/>
      <c r="K50" s="5"/>
      <c r="L50" s="5" t="s">
        <v>401</v>
      </c>
      <c r="M50" s="5"/>
      <c r="N50" s="5" t="s">
        <v>23</v>
      </c>
    </row>
    <row r="51" customFormat="false" ht="32.25" hidden="false" customHeight="true" outlineLevel="0" collapsed="false">
      <c r="A51" s="5" t="n">
        <v>47</v>
      </c>
      <c r="B51" s="5" t="s">
        <v>50</v>
      </c>
      <c r="C51" s="5" t="s">
        <v>415</v>
      </c>
      <c r="D51" s="5" t="s">
        <v>416</v>
      </c>
      <c r="E51" s="5" t="s">
        <v>206</v>
      </c>
      <c r="F51" s="5" t="s">
        <v>345</v>
      </c>
      <c r="G51" s="5" t="s">
        <v>3</v>
      </c>
      <c r="H51" s="5" t="s">
        <v>417</v>
      </c>
      <c r="I51" s="5" t="s">
        <v>210</v>
      </c>
      <c r="J51" s="5"/>
      <c r="K51" s="5"/>
      <c r="L51" s="5"/>
      <c r="M51" s="5" t="s">
        <v>418</v>
      </c>
      <c r="N51" s="5" t="s">
        <v>419</v>
      </c>
    </row>
    <row r="52" customFormat="false" ht="15" hidden="false" customHeight="true" outlineLevel="0" collapsed="false">
      <c r="A52" s="5" t="n">
        <v>48</v>
      </c>
      <c r="B52" s="5" t="s">
        <v>50</v>
      </c>
      <c r="C52" s="5" t="s">
        <v>420</v>
      </c>
      <c r="D52" s="5" t="s">
        <v>421</v>
      </c>
      <c r="E52" s="5" t="s">
        <v>206</v>
      </c>
      <c r="F52" s="5" t="s">
        <v>253</v>
      </c>
      <c r="G52" s="5"/>
      <c r="H52" s="5" t="s">
        <v>422</v>
      </c>
      <c r="I52" s="5" t="s">
        <v>210</v>
      </c>
      <c r="J52" s="5"/>
      <c r="K52" s="5"/>
      <c r="L52" s="5"/>
      <c r="M52" s="5"/>
      <c r="N52" s="5" t="s">
        <v>23</v>
      </c>
    </row>
    <row r="53" customFormat="false" ht="32.25" hidden="false" customHeight="true" outlineLevel="0" collapsed="false">
      <c r="A53" s="5" t="n">
        <v>49</v>
      </c>
      <c r="B53" s="5" t="s">
        <v>50</v>
      </c>
      <c r="C53" s="5" t="s">
        <v>423</v>
      </c>
      <c r="D53" s="5" t="s">
        <v>424</v>
      </c>
      <c r="E53" s="5" t="s">
        <v>206</v>
      </c>
      <c r="F53" s="5" t="s">
        <v>345</v>
      </c>
      <c r="G53" s="5" t="s">
        <v>425</v>
      </c>
      <c r="H53" s="5" t="s">
        <v>426</v>
      </c>
      <c r="I53" s="5" t="s">
        <v>210</v>
      </c>
      <c r="J53" s="5"/>
      <c r="K53" s="5"/>
      <c r="L53" s="5"/>
      <c r="M53" s="5"/>
      <c r="N53" s="5" t="s">
        <v>23</v>
      </c>
    </row>
    <row r="54" customFormat="false" ht="21.75" hidden="false" customHeight="true" outlineLevel="0" collapsed="false">
      <c r="A54" s="5" t="n">
        <v>50</v>
      </c>
      <c r="B54" s="5" t="s">
        <v>50</v>
      </c>
      <c r="C54" s="5" t="s">
        <v>427</v>
      </c>
      <c r="D54" s="5" t="s">
        <v>428</v>
      </c>
      <c r="E54" s="5" t="s">
        <v>206</v>
      </c>
      <c r="F54" s="5" t="s">
        <v>227</v>
      </c>
      <c r="G54" s="5" t="s">
        <v>429</v>
      </c>
      <c r="H54" s="5" t="s">
        <v>430</v>
      </c>
      <c r="I54" s="5" t="s">
        <v>230</v>
      </c>
      <c r="J54" s="5"/>
      <c r="K54" s="5"/>
      <c r="L54" s="5"/>
      <c r="M54" s="5"/>
      <c r="N54" s="5" t="s">
        <v>23</v>
      </c>
    </row>
    <row r="55" customFormat="false" ht="15" hidden="false" customHeight="true" outlineLevel="0" collapsed="false">
      <c r="A55" s="5" t="n">
        <v>51</v>
      </c>
      <c r="B55" s="5" t="s">
        <v>56</v>
      </c>
      <c r="C55" s="5" t="s">
        <v>59</v>
      </c>
      <c r="D55" s="5" t="s">
        <v>431</v>
      </c>
      <c r="E55" s="5" t="s">
        <v>206</v>
      </c>
      <c r="F55" s="5" t="s">
        <v>253</v>
      </c>
      <c r="G55" s="5"/>
      <c r="H55" s="5" t="s">
        <v>314</v>
      </c>
      <c r="I55" s="5" t="s">
        <v>210</v>
      </c>
      <c r="J55" s="5" t="s">
        <v>211</v>
      </c>
      <c r="K55" s="5"/>
      <c r="L55" s="5" t="s">
        <v>315</v>
      </c>
      <c r="M55" s="5" t="s">
        <v>432</v>
      </c>
      <c r="N55" s="5" t="s">
        <v>23</v>
      </c>
    </row>
    <row r="56" customFormat="false" ht="15" hidden="false" customHeight="true" outlineLevel="0" collapsed="false">
      <c r="A56" s="5" t="n">
        <v>52</v>
      </c>
      <c r="B56" s="5" t="s">
        <v>56</v>
      </c>
      <c r="C56" s="5" t="s">
        <v>433</v>
      </c>
      <c r="D56" s="5" t="s">
        <v>434</v>
      </c>
      <c r="E56" s="5" t="s">
        <v>435</v>
      </c>
      <c r="F56" s="5" t="s">
        <v>345</v>
      </c>
      <c r="G56" s="5" t="s">
        <v>308</v>
      </c>
      <c r="H56" s="5" t="s">
        <v>347</v>
      </c>
      <c r="I56" s="5" t="s">
        <v>210</v>
      </c>
      <c r="J56" s="5"/>
      <c r="K56" s="5"/>
      <c r="L56" s="5"/>
      <c r="M56" s="5"/>
      <c r="N56" s="5" t="s">
        <v>23</v>
      </c>
    </row>
    <row r="57" customFormat="false" ht="15" hidden="false" customHeight="true" outlineLevel="0" collapsed="false">
      <c r="A57" s="5" t="n">
        <v>53</v>
      </c>
      <c r="B57" s="5" t="s">
        <v>56</v>
      </c>
      <c r="C57" s="5" t="s">
        <v>436</v>
      </c>
      <c r="D57" s="5" t="s">
        <v>437</v>
      </c>
      <c r="E57" s="5" t="s">
        <v>206</v>
      </c>
      <c r="F57" s="5" t="s">
        <v>438</v>
      </c>
      <c r="G57" s="5"/>
      <c r="H57" s="5" t="s">
        <v>439</v>
      </c>
      <c r="I57" s="5" t="s">
        <v>210</v>
      </c>
      <c r="J57" s="5"/>
      <c r="K57" s="5"/>
      <c r="L57" s="5"/>
      <c r="M57" s="5"/>
      <c r="N57" s="5" t="s">
        <v>23</v>
      </c>
    </row>
    <row r="58" customFormat="false" ht="15" hidden="false" customHeight="true" outlineLevel="0" collapsed="false">
      <c r="A58" s="5" t="n">
        <v>54</v>
      </c>
      <c r="B58" s="5" t="s">
        <v>56</v>
      </c>
      <c r="C58" s="5" t="s">
        <v>427</v>
      </c>
      <c r="D58" s="5" t="s">
        <v>428</v>
      </c>
      <c r="E58" s="5" t="s">
        <v>206</v>
      </c>
      <c r="F58" s="5" t="s">
        <v>227</v>
      </c>
      <c r="G58" s="5"/>
      <c r="H58" s="5" t="s">
        <v>440</v>
      </c>
      <c r="I58" s="5" t="s">
        <v>210</v>
      </c>
      <c r="J58" s="5"/>
      <c r="K58" s="5"/>
      <c r="L58" s="5"/>
      <c r="M58" s="5"/>
      <c r="N58" s="5" t="s">
        <v>23</v>
      </c>
    </row>
    <row r="59" customFormat="false" ht="15" hidden="false" customHeight="true" outlineLevel="0" collapsed="false">
      <c r="A59" s="5" t="n">
        <v>55</v>
      </c>
      <c r="B59" s="5" t="s">
        <v>56</v>
      </c>
      <c r="C59" s="5" t="s">
        <v>441</v>
      </c>
      <c r="D59" s="5" t="s">
        <v>14</v>
      </c>
      <c r="E59" s="5" t="s">
        <v>442</v>
      </c>
      <c r="F59" s="5" t="s">
        <v>253</v>
      </c>
      <c r="G59" s="5" t="s">
        <v>308</v>
      </c>
      <c r="H59" s="5" t="s">
        <v>443</v>
      </c>
      <c r="I59" s="5" t="s">
        <v>210</v>
      </c>
      <c r="J59" s="5"/>
      <c r="K59" s="5"/>
      <c r="L59" s="5" t="s">
        <v>444</v>
      </c>
      <c r="M59" s="5"/>
      <c r="N59" s="5" t="s">
        <v>23</v>
      </c>
    </row>
    <row r="60" customFormat="false" ht="15" hidden="false" customHeight="true" outlineLevel="0" collapsed="false">
      <c r="A60" s="5" t="n">
        <v>56</v>
      </c>
      <c r="B60" s="5" t="s">
        <v>56</v>
      </c>
      <c r="C60" s="5" t="s">
        <v>445</v>
      </c>
      <c r="D60" s="5" t="s">
        <v>446</v>
      </c>
      <c r="E60" s="5" t="s">
        <v>447</v>
      </c>
      <c r="F60" s="5" t="s">
        <v>253</v>
      </c>
      <c r="G60" s="5" t="s">
        <v>308</v>
      </c>
      <c r="H60" s="5" t="s">
        <v>448</v>
      </c>
      <c r="I60" s="5" t="s">
        <v>210</v>
      </c>
      <c r="J60" s="5"/>
      <c r="K60" s="5"/>
      <c r="L60" s="5" t="s">
        <v>449</v>
      </c>
      <c r="M60" s="5"/>
      <c r="N60" s="5" t="s">
        <v>23</v>
      </c>
    </row>
    <row r="61" customFormat="false" ht="21.75" hidden="false" customHeight="true" outlineLevel="0" collapsed="false">
      <c r="A61" s="5" t="n">
        <v>57</v>
      </c>
      <c r="B61" s="5" t="s">
        <v>56</v>
      </c>
      <c r="C61" s="5" t="s">
        <v>450</v>
      </c>
      <c r="D61" s="5" t="s">
        <v>451</v>
      </c>
      <c r="E61" s="5" t="s">
        <v>206</v>
      </c>
      <c r="F61" s="5" t="s">
        <v>452</v>
      </c>
      <c r="G61" s="5" t="s">
        <v>453</v>
      </c>
      <c r="H61" s="5"/>
      <c r="I61" s="5" t="s">
        <v>230</v>
      </c>
      <c r="J61" s="5"/>
      <c r="K61" s="5"/>
      <c r="L61" s="5"/>
      <c r="M61" s="5" t="s">
        <v>454</v>
      </c>
      <c r="N61" s="5" t="s">
        <v>23</v>
      </c>
    </row>
    <row r="62" customFormat="false" ht="15" hidden="false" customHeight="true" outlineLevel="0" collapsed="false">
      <c r="A62" s="5" t="n">
        <v>58</v>
      </c>
      <c r="B62" s="5" t="s">
        <v>56</v>
      </c>
      <c r="C62" s="5" t="s">
        <v>396</v>
      </c>
      <c r="D62" s="5" t="s">
        <v>397</v>
      </c>
      <c r="E62" s="5" t="s">
        <v>398</v>
      </c>
      <c r="F62" s="5" t="s">
        <v>399</v>
      </c>
      <c r="G62" s="5" t="s">
        <v>400</v>
      </c>
      <c r="H62" s="5"/>
      <c r="I62" s="5" t="s">
        <v>210</v>
      </c>
      <c r="J62" s="5"/>
      <c r="K62" s="5"/>
      <c r="L62" s="5" t="s">
        <v>401</v>
      </c>
      <c r="M62" s="5"/>
      <c r="N62" s="5" t="s">
        <v>23</v>
      </c>
    </row>
    <row r="63" customFormat="false" ht="15" hidden="false" customHeight="true" outlineLevel="0" collapsed="false">
      <c r="A63" s="5" t="n">
        <v>59</v>
      </c>
      <c r="B63" s="5" t="s">
        <v>61</v>
      </c>
      <c r="C63" s="5" t="s">
        <v>59</v>
      </c>
      <c r="D63" s="5" t="s">
        <v>431</v>
      </c>
      <c r="E63" s="5" t="s">
        <v>206</v>
      </c>
      <c r="F63" s="5" t="s">
        <v>253</v>
      </c>
      <c r="G63" s="5"/>
      <c r="H63" s="5"/>
      <c r="I63" s="5" t="s">
        <v>210</v>
      </c>
      <c r="J63" s="5" t="s">
        <v>455</v>
      </c>
      <c r="K63" s="5" t="s">
        <v>456</v>
      </c>
      <c r="L63" s="5"/>
      <c r="M63" s="5"/>
      <c r="N63" s="5" t="s">
        <v>23</v>
      </c>
    </row>
    <row r="64" customFormat="false" ht="15" hidden="false" customHeight="true" outlineLevel="0" collapsed="false">
      <c r="A64" s="5" t="n">
        <v>60</v>
      </c>
      <c r="B64" s="5" t="s">
        <v>61</v>
      </c>
      <c r="C64" s="5" t="s">
        <v>46</v>
      </c>
      <c r="D64" s="5" t="s">
        <v>457</v>
      </c>
      <c r="E64" s="5" t="s">
        <v>206</v>
      </c>
      <c r="F64" s="5" t="s">
        <v>253</v>
      </c>
      <c r="G64" s="5"/>
      <c r="H64" s="5"/>
      <c r="I64" s="5" t="s">
        <v>210</v>
      </c>
      <c r="J64" s="5" t="s">
        <v>455</v>
      </c>
      <c r="K64" s="5" t="s">
        <v>411</v>
      </c>
      <c r="L64" s="5"/>
      <c r="M64" s="5"/>
      <c r="N64" s="5" t="s">
        <v>23</v>
      </c>
    </row>
    <row r="65" customFormat="false" ht="15" hidden="false" customHeight="true" outlineLevel="0" collapsed="false">
      <c r="A65" s="5" t="n">
        <v>61</v>
      </c>
      <c r="B65" s="5" t="s">
        <v>61</v>
      </c>
      <c r="C65" s="5" t="s">
        <v>458</v>
      </c>
      <c r="D65" s="5" t="s">
        <v>459</v>
      </c>
      <c r="E65" s="5" t="s">
        <v>301</v>
      </c>
      <c r="F65" s="5" t="s">
        <v>302</v>
      </c>
      <c r="G65" s="5" t="s">
        <v>303</v>
      </c>
      <c r="H65" s="5"/>
      <c r="I65" s="5" t="s">
        <v>210</v>
      </c>
      <c r="J65" s="5"/>
      <c r="K65" s="5"/>
      <c r="L65" s="5" t="s">
        <v>460</v>
      </c>
      <c r="M65" s="5"/>
      <c r="N65" s="5" t="s">
        <v>23</v>
      </c>
    </row>
    <row r="66" customFormat="false" ht="15" hidden="false" customHeight="true" outlineLevel="0" collapsed="false">
      <c r="A66" s="5" t="n">
        <v>62</v>
      </c>
      <c r="B66" s="5" t="s">
        <v>61</v>
      </c>
      <c r="C66" s="5" t="s">
        <v>461</v>
      </c>
      <c r="D66" s="5" t="s">
        <v>462</v>
      </c>
      <c r="E66" s="5" t="s">
        <v>398</v>
      </c>
      <c r="F66" s="5" t="s">
        <v>399</v>
      </c>
      <c r="G66" s="5" t="s">
        <v>400</v>
      </c>
      <c r="H66" s="5"/>
      <c r="I66" s="5" t="s">
        <v>230</v>
      </c>
      <c r="J66" s="5"/>
      <c r="K66" s="5"/>
      <c r="L66" s="5"/>
      <c r="M66" s="5"/>
      <c r="N66" s="5" t="s">
        <v>23</v>
      </c>
    </row>
    <row r="67" customFormat="false" ht="15" hidden="false" customHeight="true" outlineLevel="0" collapsed="false">
      <c r="A67" s="5" t="n">
        <v>63</v>
      </c>
      <c r="B67" s="5" t="s">
        <v>67</v>
      </c>
      <c r="C67" s="5" t="s">
        <v>71</v>
      </c>
      <c r="D67" s="5" t="s">
        <v>463</v>
      </c>
      <c r="E67" s="5" t="s">
        <v>206</v>
      </c>
      <c r="F67" s="5" t="s">
        <v>253</v>
      </c>
      <c r="G67" s="5" t="s">
        <v>464</v>
      </c>
      <c r="H67" s="5" t="s">
        <v>314</v>
      </c>
      <c r="I67" s="5" t="s">
        <v>210</v>
      </c>
      <c r="J67" s="5" t="s">
        <v>211</v>
      </c>
      <c r="K67" s="5"/>
      <c r="L67" s="5" t="s">
        <v>315</v>
      </c>
      <c r="M67" s="5" t="s">
        <v>465</v>
      </c>
      <c r="N67" s="5" t="s">
        <v>23</v>
      </c>
    </row>
    <row r="68" customFormat="false" ht="15" hidden="false" customHeight="true" outlineLevel="0" collapsed="false">
      <c r="A68" s="5" t="n">
        <v>64</v>
      </c>
      <c r="B68" s="5" t="s">
        <v>67</v>
      </c>
      <c r="C68" s="5" t="s">
        <v>466</v>
      </c>
      <c r="D68" s="5" t="s">
        <v>467</v>
      </c>
      <c r="E68" s="5" t="s">
        <v>206</v>
      </c>
      <c r="F68" s="5" t="s">
        <v>207</v>
      </c>
      <c r="G68" s="5" t="s">
        <v>265</v>
      </c>
      <c r="H68" s="5" t="s">
        <v>468</v>
      </c>
      <c r="I68" s="5" t="s">
        <v>210</v>
      </c>
      <c r="J68" s="5" t="s">
        <v>372</v>
      </c>
      <c r="K68" s="5"/>
      <c r="L68" s="5"/>
      <c r="M68" s="5" t="s">
        <v>469</v>
      </c>
      <c r="N68" s="5" t="s">
        <v>23</v>
      </c>
    </row>
    <row r="69" customFormat="false" ht="15" hidden="false" customHeight="true" outlineLevel="0" collapsed="false">
      <c r="A69" s="5" t="n">
        <v>65</v>
      </c>
      <c r="B69" s="5" t="s">
        <v>67</v>
      </c>
      <c r="C69" s="5" t="s">
        <v>470</v>
      </c>
      <c r="D69" s="5" t="s">
        <v>471</v>
      </c>
      <c r="E69" s="5" t="s">
        <v>206</v>
      </c>
      <c r="F69" s="5" t="s">
        <v>216</v>
      </c>
      <c r="G69" s="5" t="s">
        <v>472</v>
      </c>
      <c r="H69" s="5" t="s">
        <v>218</v>
      </c>
      <c r="I69" s="5" t="s">
        <v>210</v>
      </c>
      <c r="J69" s="5"/>
      <c r="K69" s="5"/>
      <c r="L69" s="5"/>
      <c r="M69" s="5"/>
      <c r="N69" s="5" t="s">
        <v>23</v>
      </c>
    </row>
    <row r="70" customFormat="false" ht="21.75" hidden="false" customHeight="true" outlineLevel="0" collapsed="false">
      <c r="A70" s="5" t="n">
        <v>66</v>
      </c>
      <c r="B70" s="5" t="s">
        <v>67</v>
      </c>
      <c r="C70" s="5" t="s">
        <v>473</v>
      </c>
      <c r="D70" s="5" t="s">
        <v>474</v>
      </c>
      <c r="E70" s="5" t="s">
        <v>358</v>
      </c>
      <c r="F70" s="5" t="s">
        <v>359</v>
      </c>
      <c r="G70" s="5" t="s">
        <v>360</v>
      </c>
      <c r="H70" s="5" t="s">
        <v>475</v>
      </c>
      <c r="I70" s="5" t="s">
        <v>210</v>
      </c>
      <c r="J70" s="5"/>
      <c r="K70" s="5"/>
      <c r="L70" s="5"/>
      <c r="M70" s="5" t="s">
        <v>476</v>
      </c>
      <c r="N70" s="5" t="s">
        <v>23</v>
      </c>
    </row>
    <row r="71" customFormat="false" ht="15" hidden="false" customHeight="true" outlineLevel="0" collapsed="false">
      <c r="A71" s="5" t="n">
        <v>67</v>
      </c>
      <c r="B71" s="5" t="s">
        <v>67</v>
      </c>
      <c r="C71" s="5" t="s">
        <v>477</v>
      </c>
      <c r="D71" s="5" t="s">
        <v>478</v>
      </c>
      <c r="E71" s="5" t="s">
        <v>206</v>
      </c>
      <c r="F71" s="5" t="s">
        <v>479</v>
      </c>
      <c r="G71" s="5" t="s">
        <v>480</v>
      </c>
      <c r="H71" s="5" t="s">
        <v>481</v>
      </c>
      <c r="I71" s="5" t="s">
        <v>210</v>
      </c>
      <c r="J71" s="5"/>
      <c r="K71" s="5"/>
      <c r="L71" s="5"/>
      <c r="M71" s="5" t="s">
        <v>482</v>
      </c>
      <c r="N71" s="5" t="s">
        <v>23</v>
      </c>
    </row>
    <row r="72" customFormat="false" ht="42.75" hidden="false" customHeight="true" outlineLevel="0" collapsed="false">
      <c r="A72" s="5" t="n">
        <v>68</v>
      </c>
      <c r="B72" s="5" t="s">
        <v>67</v>
      </c>
      <c r="C72" s="5" t="s">
        <v>483</v>
      </c>
      <c r="D72" s="5" t="s">
        <v>484</v>
      </c>
      <c r="E72" s="5" t="s">
        <v>206</v>
      </c>
      <c r="F72" s="5" t="s">
        <v>333</v>
      </c>
      <c r="G72" s="5" t="s">
        <v>485</v>
      </c>
      <c r="H72" s="5"/>
      <c r="I72" s="5" t="s">
        <v>230</v>
      </c>
      <c r="J72" s="5"/>
      <c r="K72" s="5"/>
      <c r="L72" s="5"/>
      <c r="M72" s="5" t="s">
        <v>486</v>
      </c>
      <c r="N72" s="5" t="s">
        <v>23</v>
      </c>
    </row>
    <row r="73" customFormat="false" ht="15" hidden="false" customHeight="true" outlineLevel="0" collapsed="false">
      <c r="A73" s="5" t="n">
        <v>69</v>
      </c>
      <c r="B73" s="5" t="s">
        <v>67</v>
      </c>
      <c r="C73" s="5" t="s">
        <v>487</v>
      </c>
      <c r="D73" s="5" t="s">
        <v>488</v>
      </c>
      <c r="E73" s="5" t="s">
        <v>206</v>
      </c>
      <c r="F73" s="5" t="s">
        <v>222</v>
      </c>
      <c r="G73" s="5"/>
      <c r="H73" s="5" t="s">
        <v>269</v>
      </c>
      <c r="I73" s="5" t="s">
        <v>230</v>
      </c>
      <c r="J73" s="5"/>
      <c r="K73" s="5"/>
      <c r="L73" s="5"/>
      <c r="M73" s="5"/>
      <c r="N73" s="5" t="s">
        <v>23</v>
      </c>
    </row>
    <row r="74" customFormat="false" ht="15" hidden="false" customHeight="true" outlineLevel="0" collapsed="false">
      <c r="A74" s="5" t="n">
        <v>70</v>
      </c>
      <c r="B74" s="5" t="s">
        <v>67</v>
      </c>
      <c r="C74" s="5" t="s">
        <v>489</v>
      </c>
      <c r="D74" s="5" t="s">
        <v>490</v>
      </c>
      <c r="E74" s="5" t="s">
        <v>206</v>
      </c>
      <c r="F74" s="5" t="s">
        <v>222</v>
      </c>
      <c r="G74" s="5"/>
      <c r="H74" s="5" t="s">
        <v>269</v>
      </c>
      <c r="I74" s="5" t="s">
        <v>230</v>
      </c>
      <c r="J74" s="5"/>
      <c r="K74" s="5"/>
      <c r="L74" s="5"/>
      <c r="M74" s="5"/>
      <c r="N74" s="5" t="s">
        <v>23</v>
      </c>
    </row>
    <row r="75" customFormat="false" ht="21.75" hidden="false" customHeight="true" outlineLevel="0" collapsed="false">
      <c r="A75" s="5" t="n">
        <v>71</v>
      </c>
      <c r="B75" s="5" t="s">
        <v>74</v>
      </c>
      <c r="C75" s="5" t="s">
        <v>77</v>
      </c>
      <c r="D75" s="5" t="s">
        <v>491</v>
      </c>
      <c r="E75" s="5" t="s">
        <v>206</v>
      </c>
      <c r="F75" s="5" t="s">
        <v>253</v>
      </c>
      <c r="G75" s="5" t="s">
        <v>492</v>
      </c>
      <c r="H75" s="5" t="s">
        <v>493</v>
      </c>
      <c r="I75" s="5" t="s">
        <v>210</v>
      </c>
      <c r="J75" s="5" t="s">
        <v>211</v>
      </c>
      <c r="K75" s="5"/>
      <c r="L75" s="5" t="s">
        <v>315</v>
      </c>
      <c r="M75" s="5"/>
      <c r="N75" s="5" t="s">
        <v>23</v>
      </c>
    </row>
    <row r="76" customFormat="false" ht="21.75" hidden="false" customHeight="true" outlineLevel="0" collapsed="false">
      <c r="A76" s="5" t="n">
        <v>72</v>
      </c>
      <c r="B76" s="5" t="s">
        <v>74</v>
      </c>
      <c r="C76" s="5" t="s">
        <v>27</v>
      </c>
      <c r="D76" s="5" t="s">
        <v>272</v>
      </c>
      <c r="E76" s="5" t="s">
        <v>206</v>
      </c>
      <c r="F76" s="5" t="s">
        <v>207</v>
      </c>
      <c r="G76" s="5"/>
      <c r="H76" s="5" t="s">
        <v>316</v>
      </c>
      <c r="I76" s="5" t="s">
        <v>210</v>
      </c>
      <c r="J76" s="5" t="s">
        <v>277</v>
      </c>
      <c r="K76" s="5" t="s">
        <v>317</v>
      </c>
      <c r="L76" s="5"/>
      <c r="M76" s="5" t="s">
        <v>494</v>
      </c>
      <c r="N76" s="5" t="s">
        <v>23</v>
      </c>
    </row>
    <row r="77" customFormat="false" ht="21.75" hidden="false" customHeight="true" outlineLevel="0" collapsed="false">
      <c r="A77" s="5" t="n">
        <v>73</v>
      </c>
      <c r="B77" s="5" t="s">
        <v>74</v>
      </c>
      <c r="C77" s="5" t="s">
        <v>71</v>
      </c>
      <c r="D77" s="5" t="s">
        <v>495</v>
      </c>
      <c r="E77" s="5" t="s">
        <v>206</v>
      </c>
      <c r="F77" s="5" t="s">
        <v>253</v>
      </c>
      <c r="G77" s="5"/>
      <c r="H77" s="5" t="s">
        <v>496</v>
      </c>
      <c r="I77" s="5" t="s">
        <v>210</v>
      </c>
      <c r="J77" s="5" t="s">
        <v>277</v>
      </c>
      <c r="K77" s="5" t="s">
        <v>497</v>
      </c>
      <c r="L77" s="5"/>
      <c r="M77" s="5" t="s">
        <v>498</v>
      </c>
      <c r="N77" s="5" t="s">
        <v>23</v>
      </c>
    </row>
    <row r="78" customFormat="false" ht="21.75" hidden="false" customHeight="true" outlineLevel="0" collapsed="false">
      <c r="A78" s="5" t="n">
        <v>74</v>
      </c>
      <c r="B78" s="5" t="s">
        <v>74</v>
      </c>
      <c r="C78" s="5" t="s">
        <v>46</v>
      </c>
      <c r="D78" s="5" t="s">
        <v>499</v>
      </c>
      <c r="E78" s="5" t="s">
        <v>206</v>
      </c>
      <c r="F78" s="5" t="s">
        <v>253</v>
      </c>
      <c r="G78" s="5"/>
      <c r="H78" s="5" t="s">
        <v>500</v>
      </c>
      <c r="I78" s="5" t="s">
        <v>230</v>
      </c>
      <c r="J78" s="5" t="s">
        <v>277</v>
      </c>
      <c r="K78" s="5" t="s">
        <v>411</v>
      </c>
      <c r="L78" s="5" t="s">
        <v>364</v>
      </c>
      <c r="M78" s="5" t="s">
        <v>501</v>
      </c>
      <c r="N78" s="5" t="s">
        <v>23</v>
      </c>
    </row>
    <row r="79" customFormat="false" ht="21.75" hidden="false" customHeight="true" outlineLevel="0" collapsed="false">
      <c r="A79" s="7" t="n">
        <v>75</v>
      </c>
      <c r="B79" s="7" t="s">
        <v>74</v>
      </c>
      <c r="C79" s="7" t="s">
        <v>502</v>
      </c>
      <c r="D79" s="7" t="s">
        <v>503</v>
      </c>
      <c r="E79" s="7" t="s">
        <v>206</v>
      </c>
      <c r="F79" s="7" t="s">
        <v>253</v>
      </c>
      <c r="G79" s="7"/>
      <c r="H79" s="7" t="s">
        <v>504</v>
      </c>
      <c r="I79" s="7" t="s">
        <v>230</v>
      </c>
      <c r="J79" s="7" t="s">
        <v>277</v>
      </c>
      <c r="K79" s="7" t="s">
        <v>505</v>
      </c>
      <c r="L79" s="7" t="s">
        <v>364</v>
      </c>
      <c r="M79" s="7" t="s">
        <v>506</v>
      </c>
      <c r="N79" s="7" t="s">
        <v>507</v>
      </c>
    </row>
    <row r="80" customFormat="false" ht="15" hidden="false" customHeight="true" outlineLevel="0" collapsed="false">
      <c r="A80" s="5" t="n">
        <v>76</v>
      </c>
      <c r="B80" s="5" t="s">
        <v>74</v>
      </c>
      <c r="C80" s="5" t="s">
        <v>508</v>
      </c>
      <c r="D80" s="5" t="s">
        <v>509</v>
      </c>
      <c r="E80" s="5" t="s">
        <v>358</v>
      </c>
      <c r="F80" s="5" t="s">
        <v>359</v>
      </c>
      <c r="G80" s="5" t="s">
        <v>360</v>
      </c>
      <c r="H80" s="5"/>
      <c r="I80" s="5" t="s">
        <v>210</v>
      </c>
      <c r="J80" s="5"/>
      <c r="K80" s="5"/>
      <c r="L80" s="5"/>
      <c r="M80" s="5"/>
      <c r="N80" s="5" t="s">
        <v>23</v>
      </c>
    </row>
    <row r="81" customFormat="false" ht="15" hidden="false" customHeight="true" outlineLevel="0" collapsed="false">
      <c r="A81" s="5" t="n">
        <v>77</v>
      </c>
      <c r="B81" s="5" t="s">
        <v>74</v>
      </c>
      <c r="C81" s="5" t="s">
        <v>510</v>
      </c>
      <c r="D81" s="5" t="s">
        <v>511</v>
      </c>
      <c r="E81" s="5" t="s">
        <v>358</v>
      </c>
      <c r="F81" s="5" t="s">
        <v>359</v>
      </c>
      <c r="G81" s="5" t="s">
        <v>360</v>
      </c>
      <c r="H81" s="5" t="s">
        <v>512</v>
      </c>
      <c r="I81" s="5" t="s">
        <v>210</v>
      </c>
      <c r="J81" s="5"/>
      <c r="K81" s="5"/>
      <c r="L81" s="5"/>
      <c r="M81" s="5" t="s">
        <v>513</v>
      </c>
      <c r="N81" s="5" t="s">
        <v>23</v>
      </c>
    </row>
    <row r="82" customFormat="false" ht="15" hidden="false" customHeight="true" outlineLevel="0" collapsed="false">
      <c r="A82" s="5" t="n">
        <v>78</v>
      </c>
      <c r="B82" s="5" t="s">
        <v>74</v>
      </c>
      <c r="C82" s="5" t="s">
        <v>514</v>
      </c>
      <c r="D82" s="5" t="s">
        <v>515</v>
      </c>
      <c r="E82" s="5" t="s">
        <v>294</v>
      </c>
      <c r="F82" s="5" t="s">
        <v>295</v>
      </c>
      <c r="G82" s="5" t="s">
        <v>296</v>
      </c>
      <c r="H82" s="5" t="s">
        <v>516</v>
      </c>
      <c r="I82" s="5" t="s">
        <v>210</v>
      </c>
      <c r="J82" s="5"/>
      <c r="K82" s="5"/>
      <c r="L82" s="5" t="s">
        <v>517</v>
      </c>
      <c r="M82" s="5" t="s">
        <v>518</v>
      </c>
      <c r="N82" s="5" t="s">
        <v>23</v>
      </c>
    </row>
    <row r="83" customFormat="false" ht="15" hidden="false" customHeight="true" outlineLevel="0" collapsed="false">
      <c r="A83" s="5" t="n">
        <v>79</v>
      </c>
      <c r="B83" s="5" t="s">
        <v>74</v>
      </c>
      <c r="C83" s="5" t="s">
        <v>519</v>
      </c>
      <c r="D83" s="5" t="s">
        <v>520</v>
      </c>
      <c r="E83" s="5" t="s">
        <v>294</v>
      </c>
      <c r="F83" s="5" t="s">
        <v>295</v>
      </c>
      <c r="G83" s="5" t="s">
        <v>296</v>
      </c>
      <c r="H83" s="5" t="s">
        <v>350</v>
      </c>
      <c r="I83" s="5" t="s">
        <v>210</v>
      </c>
      <c r="J83" s="5"/>
      <c r="K83" s="5"/>
      <c r="L83" s="5" t="s">
        <v>521</v>
      </c>
      <c r="M83" s="5" t="s">
        <v>522</v>
      </c>
      <c r="N83" s="5" t="s">
        <v>23</v>
      </c>
    </row>
    <row r="84" customFormat="false" ht="21.75" hidden="false" customHeight="true" outlineLevel="0" collapsed="false">
      <c r="A84" s="5" t="n">
        <v>80</v>
      </c>
      <c r="B84" s="5" t="s">
        <v>74</v>
      </c>
      <c r="C84" s="5" t="s">
        <v>523</v>
      </c>
      <c r="D84" s="5" t="s">
        <v>524</v>
      </c>
      <c r="E84" s="5" t="s">
        <v>294</v>
      </c>
      <c r="F84" s="5" t="s">
        <v>295</v>
      </c>
      <c r="G84" s="5" t="s">
        <v>296</v>
      </c>
      <c r="H84" s="5" t="s">
        <v>350</v>
      </c>
      <c r="I84" s="5" t="s">
        <v>210</v>
      </c>
      <c r="J84" s="5"/>
      <c r="K84" s="5"/>
      <c r="L84" s="5" t="s">
        <v>391</v>
      </c>
      <c r="M84" s="5" t="s">
        <v>525</v>
      </c>
      <c r="N84" s="5" t="s">
        <v>23</v>
      </c>
    </row>
    <row r="85" customFormat="false" ht="42.75" hidden="false" customHeight="true" outlineLevel="0" collapsed="false">
      <c r="A85" s="5" t="n">
        <v>81</v>
      </c>
      <c r="B85" s="5" t="s">
        <v>74</v>
      </c>
      <c r="C85" s="5" t="s">
        <v>526</v>
      </c>
      <c r="D85" s="5" t="s">
        <v>527</v>
      </c>
      <c r="E85" s="5" t="s">
        <v>206</v>
      </c>
      <c r="F85" s="5" t="s">
        <v>528</v>
      </c>
      <c r="G85" s="5" t="s">
        <v>529</v>
      </c>
      <c r="H85" s="5"/>
      <c r="I85" s="5" t="s">
        <v>230</v>
      </c>
      <c r="J85" s="5"/>
      <c r="K85" s="5"/>
      <c r="L85" s="5"/>
      <c r="M85" s="5" t="s">
        <v>530</v>
      </c>
      <c r="N85" s="5" t="s">
        <v>23</v>
      </c>
    </row>
    <row r="86" customFormat="false" ht="15" hidden="false" customHeight="true" outlineLevel="0" collapsed="false">
      <c r="A86" s="5" t="n">
        <v>82</v>
      </c>
      <c r="B86" s="5" t="s">
        <v>74</v>
      </c>
      <c r="C86" s="5" t="s">
        <v>531</v>
      </c>
      <c r="D86" s="5" t="s">
        <v>532</v>
      </c>
      <c r="E86" s="5" t="s">
        <v>358</v>
      </c>
      <c r="F86" s="5" t="s">
        <v>359</v>
      </c>
      <c r="G86" s="5" t="s">
        <v>360</v>
      </c>
      <c r="H86" s="5" t="s">
        <v>533</v>
      </c>
      <c r="I86" s="5" t="s">
        <v>230</v>
      </c>
      <c r="J86" s="5"/>
      <c r="K86" s="5"/>
      <c r="L86" s="5"/>
      <c r="M86" s="5" t="s">
        <v>534</v>
      </c>
      <c r="N86" s="5" t="s">
        <v>23</v>
      </c>
    </row>
    <row r="87" customFormat="false" ht="15" hidden="false" customHeight="true" outlineLevel="0" collapsed="false">
      <c r="A87" s="5" t="n">
        <v>83</v>
      </c>
      <c r="B87" s="5" t="s">
        <v>74</v>
      </c>
      <c r="C87" s="5" t="s">
        <v>535</v>
      </c>
      <c r="D87" s="5" t="s">
        <v>536</v>
      </c>
      <c r="E87" s="5" t="s">
        <v>358</v>
      </c>
      <c r="F87" s="5" t="s">
        <v>359</v>
      </c>
      <c r="G87" s="5" t="s">
        <v>360</v>
      </c>
      <c r="H87" s="5"/>
      <c r="I87" s="5" t="s">
        <v>230</v>
      </c>
      <c r="J87" s="5"/>
      <c r="K87" s="5"/>
      <c r="L87" s="5"/>
      <c r="M87" s="5" t="s">
        <v>537</v>
      </c>
      <c r="N87" s="5" t="s">
        <v>23</v>
      </c>
    </row>
    <row r="88" customFormat="false" ht="15" hidden="false" customHeight="true" outlineLevel="0" collapsed="false">
      <c r="A88" s="5" t="n">
        <v>84</v>
      </c>
      <c r="B88" s="5" t="s">
        <v>74</v>
      </c>
      <c r="C88" s="5" t="s">
        <v>538</v>
      </c>
      <c r="D88" s="5" t="s">
        <v>539</v>
      </c>
      <c r="E88" s="5" t="s">
        <v>358</v>
      </c>
      <c r="F88" s="5" t="s">
        <v>359</v>
      </c>
      <c r="G88" s="5" t="s">
        <v>360</v>
      </c>
      <c r="H88" s="5" t="s">
        <v>540</v>
      </c>
      <c r="I88" s="5" t="s">
        <v>230</v>
      </c>
      <c r="J88" s="5"/>
      <c r="K88" s="5"/>
      <c r="L88" s="5"/>
      <c r="M88" s="5"/>
      <c r="N88" s="5" t="s">
        <v>23</v>
      </c>
    </row>
    <row r="89" customFormat="false" ht="15" hidden="false" customHeight="true" outlineLevel="0" collapsed="false">
      <c r="A89" s="5" t="n">
        <v>85</v>
      </c>
      <c r="B89" s="5" t="s">
        <v>74</v>
      </c>
      <c r="C89" s="5" t="s">
        <v>541</v>
      </c>
      <c r="D89" s="5" t="s">
        <v>542</v>
      </c>
      <c r="E89" s="5" t="s">
        <v>358</v>
      </c>
      <c r="F89" s="5" t="s">
        <v>359</v>
      </c>
      <c r="G89" s="5" t="s">
        <v>360</v>
      </c>
      <c r="H89" s="5" t="s">
        <v>543</v>
      </c>
      <c r="I89" s="5" t="s">
        <v>230</v>
      </c>
      <c r="J89" s="5"/>
      <c r="K89" s="5"/>
      <c r="L89" s="5"/>
      <c r="M89" s="5" t="s">
        <v>544</v>
      </c>
      <c r="N89" s="5" t="s">
        <v>23</v>
      </c>
    </row>
    <row r="90" customFormat="false" ht="21.75" hidden="false" customHeight="true" outlineLevel="0" collapsed="false">
      <c r="A90" s="5" t="n">
        <v>86</v>
      </c>
      <c r="B90" s="5" t="s">
        <v>74</v>
      </c>
      <c r="C90" s="5" t="s">
        <v>306</v>
      </c>
      <c r="D90" s="5" t="s">
        <v>545</v>
      </c>
      <c r="E90" s="5" t="s">
        <v>78</v>
      </c>
      <c r="F90" s="5" t="s">
        <v>253</v>
      </c>
      <c r="G90" s="5" t="s">
        <v>308</v>
      </c>
      <c r="H90" s="5" t="s">
        <v>546</v>
      </c>
      <c r="I90" s="5" t="s">
        <v>210</v>
      </c>
      <c r="J90" s="5"/>
      <c r="K90" s="5"/>
      <c r="L90" s="5" t="s">
        <v>547</v>
      </c>
      <c r="M90" s="5" t="s">
        <v>548</v>
      </c>
      <c r="N90" s="5" t="s">
        <v>23</v>
      </c>
    </row>
    <row r="91" customFormat="false" ht="21.75" hidden="false" customHeight="true" outlineLevel="0" collapsed="false">
      <c r="A91" s="5" t="n">
        <v>87</v>
      </c>
      <c r="B91" s="5" t="s">
        <v>74</v>
      </c>
      <c r="C91" s="5" t="s">
        <v>549</v>
      </c>
      <c r="D91" s="5" t="s">
        <v>550</v>
      </c>
      <c r="E91" s="5" t="s">
        <v>206</v>
      </c>
      <c r="F91" s="5" t="s">
        <v>333</v>
      </c>
      <c r="G91" s="5"/>
      <c r="H91" s="5" t="s">
        <v>334</v>
      </c>
      <c r="I91" s="5" t="s">
        <v>230</v>
      </c>
      <c r="J91" s="5"/>
      <c r="K91" s="5"/>
      <c r="L91" s="5"/>
      <c r="M91" s="5" t="s">
        <v>551</v>
      </c>
      <c r="N91" s="5" t="s">
        <v>23</v>
      </c>
    </row>
    <row r="92" customFormat="false" ht="21.75" hidden="false" customHeight="true" outlineLevel="0" collapsed="false">
      <c r="A92" s="5" t="n">
        <v>88</v>
      </c>
      <c r="B92" s="5" t="s">
        <v>74</v>
      </c>
      <c r="C92" s="5" t="s">
        <v>552</v>
      </c>
      <c r="D92" s="5" t="s">
        <v>553</v>
      </c>
      <c r="E92" s="5" t="s">
        <v>554</v>
      </c>
      <c r="F92" s="5" t="s">
        <v>253</v>
      </c>
      <c r="G92" s="5" t="s">
        <v>308</v>
      </c>
      <c r="H92" s="5" t="s">
        <v>555</v>
      </c>
      <c r="I92" s="5" t="s">
        <v>230</v>
      </c>
      <c r="J92" s="5"/>
      <c r="K92" s="5"/>
      <c r="L92" s="5"/>
      <c r="M92" s="5" t="s">
        <v>556</v>
      </c>
      <c r="N92" s="5" t="s">
        <v>23</v>
      </c>
    </row>
    <row r="93" customFormat="false" ht="21.75" hidden="false" customHeight="true" outlineLevel="0" collapsed="false">
      <c r="A93" s="7" t="n">
        <v>89</v>
      </c>
      <c r="B93" s="7" t="s">
        <v>74</v>
      </c>
      <c r="C93" s="7" t="s">
        <v>557</v>
      </c>
      <c r="D93" s="7" t="s">
        <v>558</v>
      </c>
      <c r="E93" s="7" t="s">
        <v>301</v>
      </c>
      <c r="F93" s="7" t="s">
        <v>302</v>
      </c>
      <c r="G93" s="7" t="s">
        <v>303</v>
      </c>
      <c r="H93" s="7"/>
      <c r="I93" s="7" t="s">
        <v>210</v>
      </c>
      <c r="J93" s="7"/>
      <c r="K93" s="7"/>
      <c r="L93" s="7" t="s">
        <v>460</v>
      </c>
      <c r="M93" s="7" t="s">
        <v>559</v>
      </c>
      <c r="N93" s="7" t="s">
        <v>507</v>
      </c>
    </row>
    <row r="94" customFormat="false" ht="15" hidden="false" customHeight="true" outlineLevel="0" collapsed="false">
      <c r="A94" s="5" t="n">
        <v>90</v>
      </c>
      <c r="B94" s="5" t="s">
        <v>81</v>
      </c>
      <c r="C94" s="5" t="s">
        <v>84</v>
      </c>
      <c r="D94" s="5" t="s">
        <v>560</v>
      </c>
      <c r="E94" s="5" t="s">
        <v>206</v>
      </c>
      <c r="F94" s="5" t="s">
        <v>253</v>
      </c>
      <c r="G94" s="5" t="s">
        <v>561</v>
      </c>
      <c r="H94" s="5" t="s">
        <v>314</v>
      </c>
      <c r="I94" s="5" t="s">
        <v>210</v>
      </c>
      <c r="J94" s="5" t="s">
        <v>211</v>
      </c>
      <c r="K94" s="5"/>
      <c r="L94" s="5" t="s">
        <v>315</v>
      </c>
      <c r="M94" s="5" t="s">
        <v>562</v>
      </c>
      <c r="N94" s="5" t="s">
        <v>23</v>
      </c>
    </row>
    <row r="95" customFormat="false" ht="15" hidden="false" customHeight="true" outlineLevel="0" collapsed="false">
      <c r="A95" s="5" t="n">
        <v>91</v>
      </c>
      <c r="B95" s="5" t="s">
        <v>81</v>
      </c>
      <c r="C95" s="5" t="s">
        <v>77</v>
      </c>
      <c r="D95" s="5" t="s">
        <v>491</v>
      </c>
      <c r="E95" s="5" t="s">
        <v>206</v>
      </c>
      <c r="F95" s="5" t="s">
        <v>253</v>
      </c>
      <c r="G95" s="5"/>
      <c r="H95" s="5" t="s">
        <v>563</v>
      </c>
      <c r="I95" s="5" t="s">
        <v>210</v>
      </c>
      <c r="J95" s="5" t="s">
        <v>277</v>
      </c>
      <c r="K95" s="5" t="s">
        <v>564</v>
      </c>
      <c r="L95" s="5"/>
      <c r="M95" s="5"/>
      <c r="N95" s="5" t="s">
        <v>23</v>
      </c>
    </row>
    <row r="96" customFormat="false" ht="15" hidden="false" customHeight="true" outlineLevel="0" collapsed="false">
      <c r="A96" s="5" t="n">
        <v>92</v>
      </c>
      <c r="B96" s="5" t="s">
        <v>81</v>
      </c>
      <c r="C96" s="5" t="s">
        <v>470</v>
      </c>
      <c r="D96" s="5" t="s">
        <v>471</v>
      </c>
      <c r="E96" s="5" t="s">
        <v>206</v>
      </c>
      <c r="F96" s="5" t="s">
        <v>216</v>
      </c>
      <c r="G96" s="5"/>
      <c r="H96" s="5" t="s">
        <v>218</v>
      </c>
      <c r="I96" s="5" t="s">
        <v>210</v>
      </c>
      <c r="J96" s="5"/>
      <c r="K96" s="5"/>
      <c r="L96" s="5"/>
      <c r="M96" s="5"/>
      <c r="N96" s="5" t="s">
        <v>23</v>
      </c>
    </row>
    <row r="97" customFormat="false" ht="15" hidden="false" customHeight="true" outlineLevel="0" collapsed="false">
      <c r="A97" s="5" t="n">
        <v>93</v>
      </c>
      <c r="B97" s="5" t="s">
        <v>81</v>
      </c>
      <c r="C97" s="5" t="s">
        <v>477</v>
      </c>
      <c r="D97" s="5" t="s">
        <v>478</v>
      </c>
      <c r="E97" s="5" t="s">
        <v>206</v>
      </c>
      <c r="F97" s="5" t="s">
        <v>479</v>
      </c>
      <c r="G97" s="5" t="s">
        <v>480</v>
      </c>
      <c r="H97" s="5" t="s">
        <v>565</v>
      </c>
      <c r="I97" s="5" t="s">
        <v>230</v>
      </c>
      <c r="J97" s="5"/>
      <c r="K97" s="5"/>
      <c r="L97" s="5"/>
      <c r="M97" s="5" t="s">
        <v>566</v>
      </c>
      <c r="N97" s="5" t="s">
        <v>23</v>
      </c>
    </row>
    <row r="98" customFormat="false" ht="15" hidden="false" customHeight="true" outlineLevel="0" collapsed="false">
      <c r="A98" s="5" t="n">
        <v>94</v>
      </c>
      <c r="B98" s="5" t="s">
        <v>81</v>
      </c>
      <c r="C98" s="5" t="s">
        <v>466</v>
      </c>
      <c r="D98" s="5" t="s">
        <v>467</v>
      </c>
      <c r="E98" s="5" t="s">
        <v>206</v>
      </c>
      <c r="F98" s="5" t="s">
        <v>207</v>
      </c>
      <c r="G98" s="5" t="s">
        <v>265</v>
      </c>
      <c r="H98" s="5" t="s">
        <v>266</v>
      </c>
      <c r="I98" s="5" t="s">
        <v>567</v>
      </c>
      <c r="J98" s="5"/>
      <c r="K98" s="5"/>
      <c r="L98" s="5"/>
      <c r="M98" s="5" t="s">
        <v>568</v>
      </c>
      <c r="N98" s="5" t="s">
        <v>419</v>
      </c>
    </row>
    <row r="99" customFormat="false" ht="32.25" hidden="false" customHeight="true" outlineLevel="0" collapsed="false">
      <c r="A99" s="5" t="n">
        <v>95</v>
      </c>
      <c r="B99" s="5" t="s">
        <v>81</v>
      </c>
      <c r="C99" s="5" t="s">
        <v>569</v>
      </c>
      <c r="D99" s="5" t="s">
        <v>570</v>
      </c>
      <c r="E99" s="5" t="s">
        <v>358</v>
      </c>
      <c r="F99" s="5" t="s">
        <v>359</v>
      </c>
      <c r="G99" s="5" t="s">
        <v>360</v>
      </c>
      <c r="H99" s="5" t="s">
        <v>571</v>
      </c>
      <c r="I99" s="5" t="s">
        <v>210</v>
      </c>
      <c r="J99" s="5"/>
      <c r="K99" s="5"/>
      <c r="L99" s="5" t="s">
        <v>572</v>
      </c>
      <c r="M99" s="5"/>
      <c r="N99" s="5" t="s">
        <v>23</v>
      </c>
    </row>
    <row r="100" customFormat="false" ht="15" hidden="false" customHeight="true" outlineLevel="0" collapsed="false">
      <c r="A100" s="5" t="n">
        <v>96</v>
      </c>
      <c r="B100" s="5" t="s">
        <v>81</v>
      </c>
      <c r="C100" s="5" t="s">
        <v>573</v>
      </c>
      <c r="D100" s="5" t="s">
        <v>574</v>
      </c>
      <c r="E100" s="5" t="s">
        <v>358</v>
      </c>
      <c r="F100" s="5" t="s">
        <v>359</v>
      </c>
      <c r="G100" s="5" t="s">
        <v>360</v>
      </c>
      <c r="H100" s="5" t="s">
        <v>575</v>
      </c>
      <c r="I100" s="5" t="s">
        <v>230</v>
      </c>
      <c r="J100" s="5"/>
      <c r="K100" s="5"/>
      <c r="L100" s="5" t="s">
        <v>364</v>
      </c>
      <c r="M100" s="5" t="s">
        <v>576</v>
      </c>
      <c r="N100" s="5" t="s">
        <v>23</v>
      </c>
    </row>
    <row r="101" customFormat="false" ht="15" hidden="false" customHeight="true" outlineLevel="0" collapsed="false">
      <c r="A101" s="5" t="n">
        <v>97</v>
      </c>
      <c r="B101" s="5" t="s">
        <v>87</v>
      </c>
      <c r="C101" s="5" t="s">
        <v>77</v>
      </c>
      <c r="D101" s="5" t="s">
        <v>491</v>
      </c>
      <c r="E101" s="5" t="s">
        <v>206</v>
      </c>
      <c r="F101" s="5" t="s">
        <v>253</v>
      </c>
      <c r="G101" s="5"/>
      <c r="H101" s="5" t="s">
        <v>563</v>
      </c>
      <c r="I101" s="5" t="s">
        <v>210</v>
      </c>
      <c r="J101" s="5" t="s">
        <v>455</v>
      </c>
      <c r="K101" s="5" t="s">
        <v>564</v>
      </c>
      <c r="L101" s="5"/>
      <c r="M101" s="5"/>
      <c r="N101" s="5" t="s">
        <v>23</v>
      </c>
    </row>
    <row r="102" customFormat="false" ht="15" hidden="false" customHeight="true" outlineLevel="0" collapsed="false">
      <c r="A102" s="5" t="n">
        <v>98</v>
      </c>
      <c r="B102" s="5" t="s">
        <v>87</v>
      </c>
      <c r="C102" s="5" t="s">
        <v>39</v>
      </c>
      <c r="D102" s="5" t="s">
        <v>577</v>
      </c>
      <c r="E102" s="5" t="s">
        <v>206</v>
      </c>
      <c r="F102" s="5" t="s">
        <v>253</v>
      </c>
      <c r="G102" s="5"/>
      <c r="H102" s="5" t="s">
        <v>578</v>
      </c>
      <c r="I102" s="5" t="s">
        <v>210</v>
      </c>
      <c r="J102" s="5" t="s">
        <v>455</v>
      </c>
      <c r="K102" s="5" t="s">
        <v>579</v>
      </c>
      <c r="L102" s="5"/>
      <c r="M102" s="5" t="s">
        <v>580</v>
      </c>
      <c r="N102" s="5" t="s">
        <v>23</v>
      </c>
    </row>
    <row r="103" customFormat="false" ht="15" hidden="false" customHeight="true" outlineLevel="0" collapsed="false">
      <c r="A103" s="5" t="n">
        <v>99</v>
      </c>
      <c r="B103" s="5" t="s">
        <v>87</v>
      </c>
      <c r="C103" s="5" t="s">
        <v>321</v>
      </c>
      <c r="D103" s="5" t="s">
        <v>322</v>
      </c>
      <c r="E103" s="5" t="s">
        <v>234</v>
      </c>
      <c r="F103" s="5" t="s">
        <v>323</v>
      </c>
      <c r="G103" s="5" t="s">
        <v>236</v>
      </c>
      <c r="H103" s="5" t="s">
        <v>324</v>
      </c>
      <c r="I103" s="5" t="s">
        <v>210</v>
      </c>
      <c r="J103" s="5"/>
      <c r="K103" s="5"/>
      <c r="L103" s="5" t="s">
        <v>325</v>
      </c>
      <c r="M103" s="5" t="s">
        <v>581</v>
      </c>
      <c r="N103" s="5" t="s">
        <v>23</v>
      </c>
    </row>
    <row r="104" customFormat="false" ht="21.75" hidden="false" customHeight="true" outlineLevel="0" collapsed="false">
      <c r="A104" s="5" t="n">
        <v>100</v>
      </c>
      <c r="B104" s="5" t="s">
        <v>87</v>
      </c>
      <c r="C104" s="5" t="s">
        <v>582</v>
      </c>
      <c r="D104" s="5" t="s">
        <v>583</v>
      </c>
      <c r="E104" s="5" t="s">
        <v>294</v>
      </c>
      <c r="F104" s="5" t="s">
        <v>295</v>
      </c>
      <c r="G104" s="5" t="s">
        <v>296</v>
      </c>
      <c r="H104" s="5" t="s">
        <v>350</v>
      </c>
      <c r="I104" s="5" t="s">
        <v>210</v>
      </c>
      <c r="J104" s="5"/>
      <c r="K104" s="5"/>
      <c r="L104" s="5" t="s">
        <v>584</v>
      </c>
      <c r="M104" s="5" t="s">
        <v>585</v>
      </c>
      <c r="N104" s="5" t="s">
        <v>23</v>
      </c>
    </row>
    <row r="105" customFormat="false" ht="32.25" hidden="false" customHeight="true" outlineLevel="0" collapsed="false">
      <c r="A105" s="5" t="n">
        <v>101</v>
      </c>
      <c r="B105" s="5" t="s">
        <v>87</v>
      </c>
      <c r="C105" s="5" t="s">
        <v>356</v>
      </c>
      <c r="D105" s="5" t="s">
        <v>357</v>
      </c>
      <c r="E105" s="5" t="s">
        <v>358</v>
      </c>
      <c r="F105" s="5" t="s">
        <v>359</v>
      </c>
      <c r="G105" s="5" t="s">
        <v>360</v>
      </c>
      <c r="H105" s="5" t="s">
        <v>571</v>
      </c>
      <c r="I105" s="5" t="s">
        <v>210</v>
      </c>
      <c r="J105" s="5"/>
      <c r="K105" s="5"/>
      <c r="L105" s="5" t="s">
        <v>586</v>
      </c>
      <c r="M105" s="5"/>
      <c r="N105" s="5" t="s">
        <v>23</v>
      </c>
    </row>
    <row r="106" customFormat="false" ht="15" hidden="false" customHeight="true" outlineLevel="0" collapsed="false">
      <c r="A106" s="5" t="n">
        <v>102</v>
      </c>
      <c r="B106" s="5" t="s">
        <v>92</v>
      </c>
      <c r="C106" s="5" t="s">
        <v>95</v>
      </c>
      <c r="D106" s="5" t="s">
        <v>587</v>
      </c>
      <c r="E106" s="5" t="s">
        <v>206</v>
      </c>
      <c r="F106" s="5" t="s">
        <v>253</v>
      </c>
      <c r="G106" s="5" t="s">
        <v>588</v>
      </c>
      <c r="H106" s="5" t="s">
        <v>314</v>
      </c>
      <c r="I106" s="5" t="s">
        <v>210</v>
      </c>
      <c r="J106" s="5" t="s">
        <v>211</v>
      </c>
      <c r="K106" s="5"/>
      <c r="L106" s="5" t="s">
        <v>315</v>
      </c>
      <c r="M106" s="5"/>
      <c r="N106" s="5" t="s">
        <v>23</v>
      </c>
    </row>
    <row r="107" customFormat="false" ht="15" hidden="false" customHeight="true" outlineLevel="0" collapsed="false">
      <c r="A107" s="5" t="n">
        <v>103</v>
      </c>
      <c r="B107" s="5" t="s">
        <v>92</v>
      </c>
      <c r="C107" s="5" t="s">
        <v>77</v>
      </c>
      <c r="D107" s="5" t="s">
        <v>491</v>
      </c>
      <c r="E107" s="5" t="s">
        <v>206</v>
      </c>
      <c r="F107" s="5" t="s">
        <v>253</v>
      </c>
      <c r="G107" s="5"/>
      <c r="H107" s="5" t="s">
        <v>563</v>
      </c>
      <c r="I107" s="5" t="s">
        <v>210</v>
      </c>
      <c r="J107" s="5" t="s">
        <v>277</v>
      </c>
      <c r="K107" s="5" t="s">
        <v>564</v>
      </c>
      <c r="L107" s="5"/>
      <c r="M107" s="5"/>
      <c r="N107" s="5" t="s">
        <v>23</v>
      </c>
    </row>
    <row r="108" customFormat="false" ht="15" hidden="false" customHeight="true" outlineLevel="0" collapsed="false">
      <c r="A108" s="5" t="n">
        <v>104</v>
      </c>
      <c r="B108" s="5" t="s">
        <v>92</v>
      </c>
      <c r="C108" s="5" t="s">
        <v>34</v>
      </c>
      <c r="D108" s="5" t="s">
        <v>312</v>
      </c>
      <c r="E108" s="5" t="s">
        <v>206</v>
      </c>
      <c r="F108" s="5" t="s">
        <v>253</v>
      </c>
      <c r="G108" s="5"/>
      <c r="H108" s="5" t="s">
        <v>589</v>
      </c>
      <c r="I108" s="5" t="s">
        <v>210</v>
      </c>
      <c r="J108" s="5" t="s">
        <v>277</v>
      </c>
      <c r="K108" s="5" t="s">
        <v>590</v>
      </c>
      <c r="L108" s="5"/>
      <c r="M108" s="5"/>
      <c r="N108" s="5" t="s">
        <v>23</v>
      </c>
    </row>
    <row r="109" customFormat="false" ht="15" hidden="false" customHeight="true" outlineLevel="0" collapsed="false">
      <c r="A109" s="5" t="n">
        <v>105</v>
      </c>
      <c r="B109" s="5" t="s">
        <v>92</v>
      </c>
      <c r="C109" s="5" t="s">
        <v>591</v>
      </c>
      <c r="D109" s="5" t="s">
        <v>592</v>
      </c>
      <c r="E109" s="5" t="s">
        <v>593</v>
      </c>
      <c r="F109" s="5" t="s">
        <v>253</v>
      </c>
      <c r="G109" s="5" t="s">
        <v>308</v>
      </c>
      <c r="H109" s="5" t="s">
        <v>594</v>
      </c>
      <c r="I109" s="5" t="s">
        <v>210</v>
      </c>
      <c r="J109" s="5"/>
      <c r="K109" s="5"/>
      <c r="L109" s="5"/>
      <c r="M109" s="5"/>
      <c r="N109" s="5" t="s">
        <v>23</v>
      </c>
    </row>
    <row r="110" customFormat="false" ht="15" hidden="false" customHeight="true" outlineLevel="0" collapsed="false">
      <c r="A110" s="5" t="n">
        <v>106</v>
      </c>
      <c r="B110" s="5" t="s">
        <v>92</v>
      </c>
      <c r="C110" s="5" t="s">
        <v>595</v>
      </c>
      <c r="D110" s="5" t="s">
        <v>596</v>
      </c>
      <c r="E110" s="5" t="s">
        <v>358</v>
      </c>
      <c r="F110" s="5" t="s">
        <v>359</v>
      </c>
      <c r="G110" s="5" t="s">
        <v>360</v>
      </c>
      <c r="H110" s="5"/>
      <c r="I110" s="5" t="s">
        <v>210</v>
      </c>
      <c r="J110" s="5"/>
      <c r="K110" s="5"/>
      <c r="L110" s="5" t="s">
        <v>597</v>
      </c>
      <c r="M110" s="5"/>
      <c r="N110" s="5" t="s">
        <v>23</v>
      </c>
    </row>
    <row r="111" customFormat="false" ht="15" hidden="false" customHeight="true" outlineLevel="0" collapsed="false">
      <c r="A111" s="5" t="n">
        <v>107</v>
      </c>
      <c r="B111" s="5" t="s">
        <v>92</v>
      </c>
      <c r="C111" s="5" t="s">
        <v>326</v>
      </c>
      <c r="D111" s="5" t="s">
        <v>598</v>
      </c>
      <c r="E111" s="5" t="s">
        <v>206</v>
      </c>
      <c r="F111" s="5" t="s">
        <v>222</v>
      </c>
      <c r="G111" s="5"/>
      <c r="H111" s="5" t="s">
        <v>223</v>
      </c>
      <c r="I111" s="5" t="s">
        <v>210</v>
      </c>
      <c r="J111" s="5"/>
      <c r="K111" s="5"/>
      <c r="L111" s="5"/>
      <c r="M111" s="5"/>
      <c r="N111" s="5" t="s">
        <v>23</v>
      </c>
    </row>
    <row r="112" customFormat="false" ht="32.25" hidden="false" customHeight="true" outlineLevel="0" collapsed="false">
      <c r="A112" s="5" t="n">
        <v>108</v>
      </c>
      <c r="B112" s="5" t="s">
        <v>92</v>
      </c>
      <c r="C112" s="5" t="s">
        <v>599</v>
      </c>
      <c r="D112" s="5" t="s">
        <v>600</v>
      </c>
      <c r="E112" s="5" t="s">
        <v>206</v>
      </c>
      <c r="F112" s="5" t="s">
        <v>528</v>
      </c>
      <c r="G112" s="5" t="s">
        <v>601</v>
      </c>
      <c r="H112" s="5"/>
      <c r="I112" s="5" t="s">
        <v>230</v>
      </c>
      <c r="J112" s="5"/>
      <c r="K112" s="5"/>
      <c r="L112" s="5"/>
      <c r="M112" s="5" t="s">
        <v>602</v>
      </c>
      <c r="N112" s="5" t="s">
        <v>23</v>
      </c>
    </row>
    <row r="113" customFormat="false" ht="15" hidden="false" customHeight="true" outlineLevel="0" collapsed="false">
      <c r="A113" s="5" t="n">
        <v>109</v>
      </c>
      <c r="B113" s="5" t="s">
        <v>92</v>
      </c>
      <c r="C113" s="5" t="s">
        <v>603</v>
      </c>
      <c r="D113" s="5" t="s">
        <v>604</v>
      </c>
      <c r="E113" s="5" t="s">
        <v>294</v>
      </c>
      <c r="F113" s="5" t="s">
        <v>295</v>
      </c>
      <c r="G113" s="5" t="s">
        <v>296</v>
      </c>
      <c r="H113" s="5" t="s">
        <v>350</v>
      </c>
      <c r="I113" s="5" t="s">
        <v>230</v>
      </c>
      <c r="J113" s="5"/>
      <c r="K113" s="5"/>
      <c r="L113" s="5" t="s">
        <v>391</v>
      </c>
      <c r="M113" s="5" t="s">
        <v>605</v>
      </c>
      <c r="N113" s="5" t="s">
        <v>23</v>
      </c>
    </row>
    <row r="114" customFormat="false" ht="15" hidden="false" customHeight="true" outlineLevel="0" collapsed="false">
      <c r="A114" s="5" t="n">
        <v>110</v>
      </c>
      <c r="B114" s="5" t="s">
        <v>98</v>
      </c>
      <c r="C114" s="5" t="s">
        <v>101</v>
      </c>
      <c r="D114" s="5" t="s">
        <v>606</v>
      </c>
      <c r="E114" s="5" t="s">
        <v>206</v>
      </c>
      <c r="F114" s="5" t="s">
        <v>253</v>
      </c>
      <c r="G114" s="5" t="s">
        <v>607</v>
      </c>
      <c r="H114" s="5" t="s">
        <v>314</v>
      </c>
      <c r="I114" s="5" t="s">
        <v>210</v>
      </c>
      <c r="J114" s="5" t="s">
        <v>211</v>
      </c>
      <c r="K114" s="5"/>
      <c r="L114" s="5" t="s">
        <v>315</v>
      </c>
      <c r="M114" s="5" t="s">
        <v>408</v>
      </c>
      <c r="N114" s="5" t="s">
        <v>23</v>
      </c>
    </row>
    <row r="115" customFormat="false" ht="15" hidden="false" customHeight="true" outlineLevel="0" collapsed="false">
      <c r="A115" s="5" t="n">
        <v>111</v>
      </c>
      <c r="B115" s="5" t="s">
        <v>98</v>
      </c>
      <c r="C115" s="5" t="s">
        <v>77</v>
      </c>
      <c r="D115" s="5" t="s">
        <v>491</v>
      </c>
      <c r="E115" s="5" t="s">
        <v>206</v>
      </c>
      <c r="F115" s="5" t="s">
        <v>253</v>
      </c>
      <c r="G115" s="5"/>
      <c r="H115" s="5" t="s">
        <v>563</v>
      </c>
      <c r="I115" s="5" t="s">
        <v>210</v>
      </c>
      <c r="J115" s="5" t="s">
        <v>277</v>
      </c>
      <c r="K115" s="5" t="s">
        <v>564</v>
      </c>
      <c r="L115" s="5"/>
      <c r="M115" s="5"/>
      <c r="N115" s="5" t="s">
        <v>23</v>
      </c>
    </row>
    <row r="116" customFormat="false" ht="15" hidden="false" customHeight="true" outlineLevel="0" collapsed="false">
      <c r="A116" s="5" t="n">
        <v>112</v>
      </c>
      <c r="B116" s="5" t="s">
        <v>98</v>
      </c>
      <c r="C116" s="5" t="s">
        <v>608</v>
      </c>
      <c r="D116" s="5" t="s">
        <v>609</v>
      </c>
      <c r="E116" s="5" t="s">
        <v>358</v>
      </c>
      <c r="F116" s="5" t="s">
        <v>359</v>
      </c>
      <c r="G116" s="5" t="s">
        <v>360</v>
      </c>
      <c r="H116" s="5"/>
      <c r="I116" s="5" t="s">
        <v>210</v>
      </c>
      <c r="J116" s="5"/>
      <c r="K116" s="5"/>
      <c r="L116" s="5" t="s">
        <v>597</v>
      </c>
      <c r="M116" s="5"/>
      <c r="N116" s="5" t="s">
        <v>23</v>
      </c>
    </row>
    <row r="117" customFormat="false" ht="32.25" hidden="false" customHeight="true" outlineLevel="0" collapsed="false">
      <c r="A117" s="5" t="n">
        <v>113</v>
      </c>
      <c r="B117" s="5" t="s">
        <v>98</v>
      </c>
      <c r="C117" s="5" t="s">
        <v>610</v>
      </c>
      <c r="D117" s="5" t="s">
        <v>611</v>
      </c>
      <c r="E117" s="5" t="s">
        <v>612</v>
      </c>
      <c r="F117" s="5" t="s">
        <v>253</v>
      </c>
      <c r="G117" s="5" t="s">
        <v>308</v>
      </c>
      <c r="H117" s="5" t="s">
        <v>613</v>
      </c>
      <c r="I117" s="5" t="s">
        <v>210</v>
      </c>
      <c r="J117" s="5"/>
      <c r="K117" s="5"/>
      <c r="L117" s="5"/>
      <c r="M117" s="5"/>
      <c r="N117" s="5" t="s">
        <v>23</v>
      </c>
    </row>
    <row r="118" customFormat="false" ht="21.75" hidden="false" customHeight="true" outlineLevel="0" collapsed="false">
      <c r="A118" s="5" t="n">
        <v>114</v>
      </c>
      <c r="B118" s="5" t="s">
        <v>98</v>
      </c>
      <c r="C118" s="5" t="s">
        <v>614</v>
      </c>
      <c r="D118" s="5" t="s">
        <v>615</v>
      </c>
      <c r="E118" s="5" t="s">
        <v>206</v>
      </c>
      <c r="F118" s="5" t="s">
        <v>452</v>
      </c>
      <c r="G118" s="5" t="s">
        <v>194</v>
      </c>
      <c r="H118" s="5" t="s">
        <v>616</v>
      </c>
      <c r="I118" s="5" t="s">
        <v>210</v>
      </c>
      <c r="J118" s="5"/>
      <c r="K118" s="5"/>
      <c r="L118" s="5"/>
      <c r="M118" s="5"/>
      <c r="N118" s="5" t="s">
        <v>23</v>
      </c>
    </row>
    <row r="119" customFormat="false" ht="15" hidden="false" customHeight="true" outlineLevel="0" collapsed="false">
      <c r="A119" s="5" t="n">
        <v>115</v>
      </c>
      <c r="B119" s="5" t="s">
        <v>98</v>
      </c>
      <c r="C119" s="5" t="s">
        <v>617</v>
      </c>
      <c r="D119" s="5" t="s">
        <v>618</v>
      </c>
      <c r="E119" s="5" t="s">
        <v>206</v>
      </c>
      <c r="F119" s="5" t="s">
        <v>333</v>
      </c>
      <c r="G119" s="5" t="s">
        <v>619</v>
      </c>
      <c r="H119" s="5"/>
      <c r="I119" s="5" t="s">
        <v>230</v>
      </c>
      <c r="J119" s="5"/>
      <c r="K119" s="5"/>
      <c r="L119" s="5"/>
      <c r="M119" s="5" t="s">
        <v>620</v>
      </c>
      <c r="N119" s="5" t="s">
        <v>23</v>
      </c>
    </row>
    <row r="120" customFormat="false" ht="15" hidden="false" customHeight="true" outlineLevel="0" collapsed="false">
      <c r="A120" s="5" t="n">
        <v>116</v>
      </c>
      <c r="B120" s="5" t="s">
        <v>98</v>
      </c>
      <c r="C120" s="5" t="s">
        <v>621</v>
      </c>
      <c r="D120" s="5" t="s">
        <v>622</v>
      </c>
      <c r="E120" s="5" t="s">
        <v>206</v>
      </c>
      <c r="F120" s="5" t="s">
        <v>333</v>
      </c>
      <c r="G120" s="5" t="s">
        <v>619</v>
      </c>
      <c r="H120" s="5"/>
      <c r="I120" s="5" t="s">
        <v>230</v>
      </c>
      <c r="J120" s="5"/>
      <c r="K120" s="5"/>
      <c r="L120" s="5"/>
      <c r="M120" s="5"/>
      <c r="N120" s="5" t="s">
        <v>23</v>
      </c>
    </row>
    <row r="121" customFormat="false" ht="21.75" hidden="false" customHeight="true" outlineLevel="0" collapsed="false">
      <c r="A121" s="5" t="n">
        <v>117</v>
      </c>
      <c r="B121" s="5" t="s">
        <v>98</v>
      </c>
      <c r="C121" s="5" t="s">
        <v>356</v>
      </c>
      <c r="D121" s="5" t="s">
        <v>357</v>
      </c>
      <c r="E121" s="5" t="s">
        <v>358</v>
      </c>
      <c r="F121" s="5" t="s">
        <v>359</v>
      </c>
      <c r="G121" s="5" t="s">
        <v>360</v>
      </c>
      <c r="H121" s="5" t="s">
        <v>623</v>
      </c>
      <c r="I121" s="5" t="s">
        <v>210</v>
      </c>
      <c r="J121" s="5"/>
      <c r="K121" s="5"/>
      <c r="L121" s="5"/>
      <c r="M121" s="5" t="s">
        <v>624</v>
      </c>
      <c r="N121" s="5" t="s">
        <v>23</v>
      </c>
    </row>
    <row r="122" customFormat="false" ht="32.25" hidden="false" customHeight="true" outlineLevel="0" collapsed="false">
      <c r="A122" s="5" t="n">
        <v>118</v>
      </c>
      <c r="B122" s="5" t="s">
        <v>98</v>
      </c>
      <c r="C122" s="5" t="s">
        <v>625</v>
      </c>
      <c r="D122" s="5" t="s">
        <v>626</v>
      </c>
      <c r="E122" s="5" t="s">
        <v>206</v>
      </c>
      <c r="F122" s="5" t="s">
        <v>528</v>
      </c>
      <c r="G122" s="5" t="s">
        <v>601</v>
      </c>
      <c r="H122" s="5"/>
      <c r="I122" s="5" t="s">
        <v>230</v>
      </c>
      <c r="J122" s="5"/>
      <c r="K122" s="5"/>
      <c r="L122" s="5"/>
      <c r="M122" s="5" t="s">
        <v>627</v>
      </c>
      <c r="N122" s="5" t="s">
        <v>23</v>
      </c>
    </row>
    <row r="123" customFormat="false" ht="15" hidden="false" customHeight="true" outlineLevel="0" collapsed="false">
      <c r="A123" s="5" t="n">
        <v>119</v>
      </c>
      <c r="B123" s="5" t="s">
        <v>103</v>
      </c>
      <c r="C123" s="5" t="s">
        <v>107</v>
      </c>
      <c r="D123" s="5" t="s">
        <v>628</v>
      </c>
      <c r="E123" s="5" t="s">
        <v>206</v>
      </c>
      <c r="F123" s="5" t="s">
        <v>253</v>
      </c>
      <c r="G123" s="5" t="s">
        <v>629</v>
      </c>
      <c r="H123" s="5" t="s">
        <v>314</v>
      </c>
      <c r="I123" s="5" t="s">
        <v>210</v>
      </c>
      <c r="J123" s="5" t="s">
        <v>211</v>
      </c>
      <c r="K123" s="5"/>
      <c r="L123" s="5" t="s">
        <v>315</v>
      </c>
      <c r="M123" s="5"/>
      <c r="N123" s="5" t="s">
        <v>23</v>
      </c>
    </row>
    <row r="124" customFormat="false" ht="15" hidden="false" customHeight="true" outlineLevel="0" collapsed="false">
      <c r="A124" s="5" t="n">
        <v>120</v>
      </c>
      <c r="B124" s="5" t="s">
        <v>103</v>
      </c>
      <c r="C124" s="5" t="s">
        <v>77</v>
      </c>
      <c r="D124" s="5" t="s">
        <v>491</v>
      </c>
      <c r="E124" s="5" t="s">
        <v>206</v>
      </c>
      <c r="F124" s="5" t="s">
        <v>253</v>
      </c>
      <c r="G124" s="5"/>
      <c r="H124" s="5" t="s">
        <v>630</v>
      </c>
      <c r="I124" s="5" t="s">
        <v>210</v>
      </c>
      <c r="J124" s="5" t="s">
        <v>277</v>
      </c>
      <c r="K124" s="5" t="s">
        <v>564</v>
      </c>
      <c r="L124" s="5"/>
      <c r="M124" s="5" t="s">
        <v>631</v>
      </c>
      <c r="N124" s="5" t="s">
        <v>23</v>
      </c>
    </row>
    <row r="125" customFormat="false" ht="15" hidden="false" customHeight="true" outlineLevel="0" collapsed="false">
      <c r="A125" s="5" t="n">
        <v>121</v>
      </c>
      <c r="B125" s="5" t="s">
        <v>103</v>
      </c>
      <c r="C125" s="5" t="s">
        <v>632</v>
      </c>
      <c r="D125" s="5" t="s">
        <v>633</v>
      </c>
      <c r="E125" s="5" t="s">
        <v>634</v>
      </c>
      <c r="F125" s="5" t="s">
        <v>207</v>
      </c>
      <c r="G125" s="5" t="s">
        <v>308</v>
      </c>
      <c r="H125" s="5" t="s">
        <v>635</v>
      </c>
      <c r="I125" s="5" t="s">
        <v>210</v>
      </c>
      <c r="J125" s="5"/>
      <c r="K125" s="5"/>
      <c r="L125" s="5"/>
      <c r="M125" s="5" t="s">
        <v>636</v>
      </c>
      <c r="N125" s="5" t="s">
        <v>23</v>
      </c>
    </row>
    <row r="126" customFormat="false" ht="15" hidden="false" customHeight="true" outlineLevel="0" collapsed="false">
      <c r="A126" s="5" t="n">
        <v>122</v>
      </c>
      <c r="B126" s="5" t="s">
        <v>103</v>
      </c>
      <c r="C126" s="5" t="s">
        <v>637</v>
      </c>
      <c r="D126" s="5" t="s">
        <v>638</v>
      </c>
      <c r="E126" s="5" t="s">
        <v>206</v>
      </c>
      <c r="F126" s="5" t="s">
        <v>639</v>
      </c>
      <c r="G126" s="5" t="s">
        <v>640</v>
      </c>
      <c r="H126" s="5" t="s">
        <v>641</v>
      </c>
      <c r="I126" s="5" t="s">
        <v>210</v>
      </c>
      <c r="J126" s="5"/>
      <c r="K126" s="5"/>
      <c r="L126" s="5"/>
      <c r="M126" s="5" t="s">
        <v>642</v>
      </c>
      <c r="N126" s="5" t="s">
        <v>23</v>
      </c>
    </row>
    <row r="127" customFormat="false" ht="15" hidden="false" customHeight="true" outlineLevel="0" collapsed="false">
      <c r="A127" s="5" t="n">
        <v>123</v>
      </c>
      <c r="B127" s="5" t="s">
        <v>103</v>
      </c>
      <c r="C127" s="5" t="s">
        <v>643</v>
      </c>
      <c r="D127" s="5" t="s">
        <v>644</v>
      </c>
      <c r="E127" s="5" t="s">
        <v>645</v>
      </c>
      <c r="F127" s="5" t="s">
        <v>253</v>
      </c>
      <c r="G127" s="5" t="s">
        <v>308</v>
      </c>
      <c r="H127" s="5" t="s">
        <v>646</v>
      </c>
      <c r="I127" s="5" t="s">
        <v>210</v>
      </c>
      <c r="J127" s="5"/>
      <c r="K127" s="5"/>
      <c r="L127" s="5" t="s">
        <v>647</v>
      </c>
      <c r="M127" s="5" t="s">
        <v>648</v>
      </c>
      <c r="N127" s="5" t="s">
        <v>23</v>
      </c>
    </row>
    <row r="128" customFormat="false" ht="15" hidden="false" customHeight="true" outlineLevel="0" collapsed="false">
      <c r="A128" s="5" t="n">
        <v>124</v>
      </c>
      <c r="B128" s="5" t="s">
        <v>103</v>
      </c>
      <c r="C128" s="5" t="s">
        <v>649</v>
      </c>
      <c r="D128" s="5" t="s">
        <v>650</v>
      </c>
      <c r="E128" s="5" t="s">
        <v>358</v>
      </c>
      <c r="F128" s="5" t="s">
        <v>359</v>
      </c>
      <c r="G128" s="5" t="s">
        <v>360</v>
      </c>
      <c r="H128" s="5"/>
      <c r="I128" s="5" t="s">
        <v>210</v>
      </c>
      <c r="J128" s="5"/>
      <c r="K128" s="5"/>
      <c r="L128" s="5" t="s">
        <v>597</v>
      </c>
      <c r="M128" s="5"/>
      <c r="N128" s="5" t="s">
        <v>23</v>
      </c>
    </row>
    <row r="129" customFormat="false" ht="21.75" hidden="false" customHeight="true" outlineLevel="0" collapsed="false">
      <c r="A129" s="5" t="n">
        <v>125</v>
      </c>
      <c r="B129" s="5" t="s">
        <v>103</v>
      </c>
      <c r="C129" s="5" t="s">
        <v>651</v>
      </c>
      <c r="D129" s="5" t="s">
        <v>652</v>
      </c>
      <c r="E129" s="5" t="s">
        <v>234</v>
      </c>
      <c r="F129" s="5" t="s">
        <v>653</v>
      </c>
      <c r="G129" s="5" t="s">
        <v>236</v>
      </c>
      <c r="H129" s="5" t="s">
        <v>654</v>
      </c>
      <c r="I129" s="5" t="s">
        <v>210</v>
      </c>
      <c r="J129" s="5"/>
      <c r="K129" s="5"/>
      <c r="L129" s="5" t="s">
        <v>655</v>
      </c>
      <c r="M129" s="5" t="s">
        <v>656</v>
      </c>
      <c r="N129" s="5" t="s">
        <v>23</v>
      </c>
    </row>
    <row r="130" customFormat="false" ht="21.75" hidden="false" customHeight="true" outlineLevel="0" collapsed="false">
      <c r="A130" s="5" t="n">
        <v>126</v>
      </c>
      <c r="B130" s="5" t="s">
        <v>103</v>
      </c>
      <c r="C130" s="5" t="s">
        <v>657</v>
      </c>
      <c r="D130" s="5" t="s">
        <v>658</v>
      </c>
      <c r="E130" s="5" t="s">
        <v>234</v>
      </c>
      <c r="F130" s="5" t="s">
        <v>653</v>
      </c>
      <c r="G130" s="5" t="s">
        <v>236</v>
      </c>
      <c r="H130" s="5" t="s">
        <v>659</v>
      </c>
      <c r="I130" s="5" t="s">
        <v>210</v>
      </c>
      <c r="J130" s="5"/>
      <c r="K130" s="5"/>
      <c r="L130" s="5"/>
      <c r="M130" s="5" t="s">
        <v>660</v>
      </c>
      <c r="N130" s="5" t="s">
        <v>23</v>
      </c>
    </row>
    <row r="131" customFormat="false" ht="32.25" hidden="false" customHeight="true" outlineLevel="0" collapsed="false">
      <c r="A131" s="5" t="n">
        <v>127</v>
      </c>
      <c r="B131" s="5" t="s">
        <v>103</v>
      </c>
      <c r="C131" s="5" t="s">
        <v>661</v>
      </c>
      <c r="D131" s="5" t="s">
        <v>662</v>
      </c>
      <c r="E131" s="5" t="s">
        <v>206</v>
      </c>
      <c r="F131" s="5" t="s">
        <v>333</v>
      </c>
      <c r="G131" s="5" t="s">
        <v>601</v>
      </c>
      <c r="H131" s="5"/>
      <c r="I131" s="5" t="s">
        <v>230</v>
      </c>
      <c r="J131" s="5"/>
      <c r="K131" s="5"/>
      <c r="L131" s="5"/>
      <c r="M131" s="5"/>
      <c r="N131" s="5" t="s">
        <v>23</v>
      </c>
    </row>
    <row r="132" customFormat="false" ht="32.25" hidden="false" customHeight="true" outlineLevel="0" collapsed="false">
      <c r="A132" s="5" t="n">
        <v>128</v>
      </c>
      <c r="B132" s="5" t="s">
        <v>110</v>
      </c>
      <c r="C132" s="5" t="s">
        <v>112</v>
      </c>
      <c r="D132" s="5" t="s">
        <v>663</v>
      </c>
      <c r="E132" s="5" t="s">
        <v>206</v>
      </c>
      <c r="F132" s="5" t="s">
        <v>253</v>
      </c>
      <c r="G132" s="5" t="s">
        <v>664</v>
      </c>
      <c r="H132" s="5" t="s">
        <v>665</v>
      </c>
      <c r="I132" s="5" t="s">
        <v>210</v>
      </c>
      <c r="J132" s="5" t="s">
        <v>211</v>
      </c>
      <c r="K132" s="5"/>
      <c r="L132" s="5" t="s">
        <v>315</v>
      </c>
      <c r="M132" s="5" t="s">
        <v>666</v>
      </c>
      <c r="N132" s="5" t="s">
        <v>23</v>
      </c>
    </row>
    <row r="133" customFormat="false" ht="15" hidden="false" customHeight="true" outlineLevel="0" collapsed="false">
      <c r="A133" s="5" t="n">
        <v>129</v>
      </c>
      <c r="B133" s="5" t="s">
        <v>110</v>
      </c>
      <c r="C133" s="5" t="s">
        <v>77</v>
      </c>
      <c r="D133" s="5" t="s">
        <v>491</v>
      </c>
      <c r="E133" s="5" t="s">
        <v>206</v>
      </c>
      <c r="F133" s="5" t="s">
        <v>253</v>
      </c>
      <c r="G133" s="5"/>
      <c r="H133" s="5" t="s">
        <v>563</v>
      </c>
      <c r="I133" s="5" t="s">
        <v>210</v>
      </c>
      <c r="J133" s="5" t="s">
        <v>277</v>
      </c>
      <c r="K133" s="5" t="s">
        <v>564</v>
      </c>
      <c r="L133" s="5"/>
      <c r="M133" s="5"/>
      <c r="N133" s="5" t="s">
        <v>23</v>
      </c>
    </row>
    <row r="134" customFormat="false" ht="15" hidden="false" customHeight="true" outlineLevel="0" collapsed="false">
      <c r="A134" s="5" t="n">
        <v>130</v>
      </c>
      <c r="B134" s="5" t="s">
        <v>110</v>
      </c>
      <c r="C134" s="5" t="s">
        <v>140</v>
      </c>
      <c r="D134" s="5" t="s">
        <v>667</v>
      </c>
      <c r="E134" s="5" t="s">
        <v>206</v>
      </c>
      <c r="F134" s="5" t="s">
        <v>253</v>
      </c>
      <c r="G134" s="5"/>
      <c r="H134" s="5"/>
      <c r="I134" s="5" t="s">
        <v>230</v>
      </c>
      <c r="J134" s="5" t="s">
        <v>277</v>
      </c>
      <c r="K134" s="5" t="s">
        <v>668</v>
      </c>
      <c r="L134" s="5" t="s">
        <v>364</v>
      </c>
      <c r="M134" s="5" t="s">
        <v>669</v>
      </c>
      <c r="N134" s="5" t="s">
        <v>23</v>
      </c>
    </row>
    <row r="135" customFormat="false" ht="21.75" hidden="false" customHeight="true" outlineLevel="0" collapsed="false">
      <c r="A135" s="5" t="n">
        <v>131</v>
      </c>
      <c r="B135" s="5" t="s">
        <v>110</v>
      </c>
      <c r="C135" s="5" t="s">
        <v>670</v>
      </c>
      <c r="D135" s="5" t="s">
        <v>671</v>
      </c>
      <c r="E135" s="5" t="s">
        <v>672</v>
      </c>
      <c r="F135" s="5" t="s">
        <v>345</v>
      </c>
      <c r="G135" s="5" t="s">
        <v>308</v>
      </c>
      <c r="H135" s="5" t="s">
        <v>673</v>
      </c>
      <c r="I135" s="5" t="s">
        <v>210</v>
      </c>
      <c r="J135" s="5"/>
      <c r="K135" s="5"/>
      <c r="L135" s="5" t="s">
        <v>647</v>
      </c>
      <c r="M135" s="5"/>
      <c r="N135" s="5" t="s">
        <v>23</v>
      </c>
    </row>
    <row r="136" customFormat="false" ht="21.75" hidden="false" customHeight="true" outlineLevel="0" collapsed="false">
      <c r="A136" s="5" t="n">
        <v>132</v>
      </c>
      <c r="B136" s="5" t="s">
        <v>110</v>
      </c>
      <c r="C136" s="5" t="s">
        <v>637</v>
      </c>
      <c r="D136" s="5" t="s">
        <v>638</v>
      </c>
      <c r="E136" s="5" t="s">
        <v>206</v>
      </c>
      <c r="F136" s="5" t="s">
        <v>639</v>
      </c>
      <c r="G136" s="5" t="s">
        <v>640</v>
      </c>
      <c r="H136" s="5"/>
      <c r="I136" s="5" t="s">
        <v>210</v>
      </c>
      <c r="J136" s="5"/>
      <c r="K136" s="5"/>
      <c r="L136" s="5"/>
      <c r="M136" s="5" t="s">
        <v>674</v>
      </c>
      <c r="N136" s="5" t="s">
        <v>23</v>
      </c>
    </row>
    <row r="137" customFormat="false" ht="15" hidden="false" customHeight="true" outlineLevel="0" collapsed="false">
      <c r="A137" s="5" t="n">
        <v>133</v>
      </c>
      <c r="B137" s="5" t="s">
        <v>110</v>
      </c>
      <c r="C137" s="5" t="s">
        <v>675</v>
      </c>
      <c r="D137" s="5" t="s">
        <v>676</v>
      </c>
      <c r="E137" s="5" t="s">
        <v>358</v>
      </c>
      <c r="F137" s="5" t="s">
        <v>359</v>
      </c>
      <c r="G137" s="5" t="s">
        <v>360</v>
      </c>
      <c r="H137" s="5"/>
      <c r="I137" s="5" t="s">
        <v>230</v>
      </c>
      <c r="J137" s="5"/>
      <c r="K137" s="5"/>
      <c r="L137" s="5"/>
      <c r="M137" s="5" t="s">
        <v>677</v>
      </c>
      <c r="N137" s="5" t="s">
        <v>23</v>
      </c>
    </row>
    <row r="138" customFormat="false" ht="32.25" hidden="false" customHeight="true" outlineLevel="0" collapsed="false">
      <c r="A138" s="5" t="n">
        <v>134</v>
      </c>
      <c r="B138" s="5" t="s">
        <v>110</v>
      </c>
      <c r="C138" s="5" t="s">
        <v>240</v>
      </c>
      <c r="D138" s="5" t="s">
        <v>678</v>
      </c>
      <c r="E138" s="5" t="s">
        <v>358</v>
      </c>
      <c r="F138" s="5" t="s">
        <v>359</v>
      </c>
      <c r="G138" s="5" t="s">
        <v>360</v>
      </c>
      <c r="H138" s="5" t="s">
        <v>679</v>
      </c>
      <c r="I138" s="5" t="s">
        <v>210</v>
      </c>
      <c r="J138" s="5"/>
      <c r="K138" s="5"/>
      <c r="L138" s="5" t="s">
        <v>680</v>
      </c>
      <c r="M138" s="5" t="s">
        <v>681</v>
      </c>
      <c r="N138" s="5" t="s">
        <v>23</v>
      </c>
    </row>
    <row r="139" customFormat="false" ht="15" hidden="false" customHeight="true" outlineLevel="0" collapsed="false">
      <c r="A139" s="5" t="n">
        <v>135</v>
      </c>
      <c r="B139" s="5" t="s">
        <v>110</v>
      </c>
      <c r="C139" s="5" t="s">
        <v>682</v>
      </c>
      <c r="D139" s="5" t="s">
        <v>683</v>
      </c>
      <c r="E139" s="5" t="s">
        <v>294</v>
      </c>
      <c r="F139" s="5" t="s">
        <v>295</v>
      </c>
      <c r="G139" s="5" t="s">
        <v>296</v>
      </c>
      <c r="H139" s="5" t="s">
        <v>350</v>
      </c>
      <c r="I139" s="5" t="s">
        <v>210</v>
      </c>
      <c r="J139" s="5"/>
      <c r="K139" s="5"/>
      <c r="L139" s="5" t="s">
        <v>391</v>
      </c>
      <c r="M139" s="5" t="s">
        <v>684</v>
      </c>
      <c r="N139" s="5" t="s">
        <v>23</v>
      </c>
    </row>
    <row r="140" customFormat="false" ht="21.75" hidden="false" customHeight="true" outlineLevel="0" collapsed="false">
      <c r="A140" s="5" t="n">
        <v>136</v>
      </c>
      <c r="B140" s="5" t="s">
        <v>110</v>
      </c>
      <c r="C140" s="5" t="s">
        <v>685</v>
      </c>
      <c r="D140" s="5" t="s">
        <v>686</v>
      </c>
      <c r="E140" s="5" t="s">
        <v>294</v>
      </c>
      <c r="F140" s="5" t="s">
        <v>295</v>
      </c>
      <c r="G140" s="5" t="s">
        <v>687</v>
      </c>
      <c r="H140" s="5" t="s">
        <v>350</v>
      </c>
      <c r="I140" s="5" t="s">
        <v>210</v>
      </c>
      <c r="J140" s="5"/>
      <c r="K140" s="5"/>
      <c r="L140" s="5"/>
      <c r="M140" s="5" t="s">
        <v>688</v>
      </c>
      <c r="N140" s="5" t="s">
        <v>23</v>
      </c>
    </row>
    <row r="141" customFormat="false" ht="15" hidden="false" customHeight="true" outlineLevel="0" collapsed="false">
      <c r="A141" s="5" t="n">
        <v>137</v>
      </c>
      <c r="B141" s="5" t="s">
        <v>110</v>
      </c>
      <c r="C141" s="5" t="s">
        <v>689</v>
      </c>
      <c r="D141" s="5" t="s">
        <v>690</v>
      </c>
      <c r="E141" s="5" t="s">
        <v>294</v>
      </c>
      <c r="F141" s="5" t="s">
        <v>295</v>
      </c>
      <c r="G141" s="5" t="s">
        <v>296</v>
      </c>
      <c r="H141" s="5" t="s">
        <v>691</v>
      </c>
      <c r="I141" s="5" t="s">
        <v>210</v>
      </c>
      <c r="J141" s="5"/>
      <c r="K141" s="5"/>
      <c r="L141" s="5" t="s">
        <v>391</v>
      </c>
      <c r="M141" s="5" t="s">
        <v>692</v>
      </c>
      <c r="N141" s="5" t="s">
        <v>23</v>
      </c>
    </row>
    <row r="142" customFormat="false" ht="42.75" hidden="false" customHeight="true" outlineLevel="0" collapsed="false">
      <c r="A142" s="5" t="n">
        <v>138</v>
      </c>
      <c r="B142" s="5" t="s">
        <v>110</v>
      </c>
      <c r="C142" s="5" t="s">
        <v>306</v>
      </c>
      <c r="D142" s="5" t="s">
        <v>384</v>
      </c>
      <c r="E142" s="5" t="s">
        <v>113</v>
      </c>
      <c r="F142" s="5" t="s">
        <v>253</v>
      </c>
      <c r="G142" s="5" t="s">
        <v>308</v>
      </c>
      <c r="H142" s="5" t="s">
        <v>693</v>
      </c>
      <c r="I142" s="5" t="s">
        <v>210</v>
      </c>
      <c r="J142" s="5"/>
      <c r="K142" s="5"/>
      <c r="L142" s="5" t="s">
        <v>694</v>
      </c>
      <c r="M142" s="5" t="s">
        <v>695</v>
      </c>
      <c r="N142" s="5" t="s">
        <v>23</v>
      </c>
    </row>
    <row r="143" customFormat="false" ht="15" hidden="false" customHeight="true" outlineLevel="0" collapsed="false">
      <c r="A143" s="5" t="n">
        <v>139</v>
      </c>
      <c r="B143" s="5" t="s">
        <v>110</v>
      </c>
      <c r="C143" s="5" t="s">
        <v>696</v>
      </c>
      <c r="D143" s="5" t="s">
        <v>697</v>
      </c>
      <c r="E143" s="5" t="s">
        <v>206</v>
      </c>
      <c r="F143" s="5" t="s">
        <v>333</v>
      </c>
      <c r="G143" s="5"/>
      <c r="H143" s="5" t="s">
        <v>334</v>
      </c>
      <c r="I143" s="5" t="s">
        <v>567</v>
      </c>
      <c r="J143" s="5"/>
      <c r="K143" s="5"/>
      <c r="L143" s="5"/>
      <c r="M143" s="5" t="s">
        <v>698</v>
      </c>
      <c r="N143" s="5" t="s">
        <v>23</v>
      </c>
    </row>
    <row r="144" customFormat="false" ht="15" hidden="false" customHeight="true" outlineLevel="0" collapsed="false">
      <c r="A144" s="5" t="n">
        <v>140</v>
      </c>
      <c r="B144" s="5" t="s">
        <v>116</v>
      </c>
      <c r="C144" s="5" t="s">
        <v>119</v>
      </c>
      <c r="D144" s="5" t="s">
        <v>699</v>
      </c>
      <c r="E144" s="5" t="s">
        <v>206</v>
      </c>
      <c r="F144" s="5" t="s">
        <v>253</v>
      </c>
      <c r="G144" s="5"/>
      <c r="H144" s="5" t="s">
        <v>314</v>
      </c>
      <c r="I144" s="5" t="s">
        <v>210</v>
      </c>
      <c r="J144" s="5" t="s">
        <v>211</v>
      </c>
      <c r="K144" s="5"/>
      <c r="L144" s="5" t="s">
        <v>315</v>
      </c>
      <c r="M144" s="5"/>
      <c r="N144" s="5" t="s">
        <v>23</v>
      </c>
    </row>
    <row r="145" customFormat="false" ht="21.75" hidden="false" customHeight="true" outlineLevel="0" collapsed="false">
      <c r="A145" s="5" t="n">
        <v>141</v>
      </c>
      <c r="B145" s="5" t="s">
        <v>116</v>
      </c>
      <c r="C145" s="5" t="s">
        <v>112</v>
      </c>
      <c r="D145" s="5" t="s">
        <v>663</v>
      </c>
      <c r="E145" s="5" t="s">
        <v>206</v>
      </c>
      <c r="F145" s="5" t="s">
        <v>253</v>
      </c>
      <c r="G145" s="5"/>
      <c r="H145" s="5" t="s">
        <v>700</v>
      </c>
      <c r="I145" s="5" t="s">
        <v>210</v>
      </c>
      <c r="J145" s="5" t="s">
        <v>277</v>
      </c>
      <c r="K145" s="5" t="s">
        <v>701</v>
      </c>
      <c r="L145" s="5"/>
      <c r="M145" s="5"/>
      <c r="N145" s="5" t="s">
        <v>23</v>
      </c>
    </row>
    <row r="146" customFormat="false" ht="15" hidden="false" customHeight="true" outlineLevel="0" collapsed="false">
      <c r="A146" s="5" t="n">
        <v>142</v>
      </c>
      <c r="B146" s="5" t="s">
        <v>116</v>
      </c>
      <c r="C146" s="5" t="s">
        <v>107</v>
      </c>
      <c r="D146" s="5" t="s">
        <v>628</v>
      </c>
      <c r="E146" s="5" t="s">
        <v>206</v>
      </c>
      <c r="F146" s="5" t="s">
        <v>253</v>
      </c>
      <c r="G146" s="5"/>
      <c r="H146" s="5"/>
      <c r="I146" s="5" t="s">
        <v>567</v>
      </c>
      <c r="J146" s="5" t="s">
        <v>277</v>
      </c>
      <c r="K146" s="5" t="s">
        <v>702</v>
      </c>
      <c r="L146" s="5" t="s">
        <v>364</v>
      </c>
      <c r="M146" s="5" t="s">
        <v>703</v>
      </c>
      <c r="N146" s="5" t="s">
        <v>23</v>
      </c>
    </row>
    <row r="147" customFormat="false" ht="15" hidden="false" customHeight="true" outlineLevel="0" collapsed="false">
      <c r="A147" s="5" t="n">
        <v>143</v>
      </c>
      <c r="B147" s="5" t="s">
        <v>116</v>
      </c>
      <c r="C147" s="5" t="s">
        <v>156</v>
      </c>
      <c r="D147" s="5" t="s">
        <v>704</v>
      </c>
      <c r="E147" s="5" t="s">
        <v>206</v>
      </c>
      <c r="F147" s="5" t="s">
        <v>253</v>
      </c>
      <c r="G147" s="5"/>
      <c r="H147" s="5"/>
      <c r="I147" s="5" t="s">
        <v>230</v>
      </c>
      <c r="J147" s="5" t="s">
        <v>277</v>
      </c>
      <c r="K147" s="5" t="s">
        <v>705</v>
      </c>
      <c r="L147" s="5" t="s">
        <v>364</v>
      </c>
      <c r="M147" s="5" t="s">
        <v>706</v>
      </c>
      <c r="N147" s="5" t="s">
        <v>23</v>
      </c>
    </row>
    <row r="148" customFormat="false" ht="15" hidden="false" customHeight="true" outlineLevel="0" collapsed="false">
      <c r="A148" s="7" t="n">
        <v>144</v>
      </c>
      <c r="B148" s="7" t="s">
        <v>116</v>
      </c>
      <c r="C148" s="7" t="s">
        <v>707</v>
      </c>
      <c r="D148" s="7" t="s">
        <v>708</v>
      </c>
      <c r="E148" s="7" t="s">
        <v>206</v>
      </c>
      <c r="F148" s="7" t="s">
        <v>253</v>
      </c>
      <c r="G148" s="7"/>
      <c r="H148" s="7" t="s">
        <v>709</v>
      </c>
      <c r="I148" s="7" t="s">
        <v>567</v>
      </c>
      <c r="J148" s="7" t="s">
        <v>277</v>
      </c>
      <c r="K148" s="7" t="s">
        <v>701</v>
      </c>
      <c r="L148" s="7" t="s">
        <v>364</v>
      </c>
      <c r="M148" s="7" t="s">
        <v>710</v>
      </c>
      <c r="N148" s="7" t="s">
        <v>507</v>
      </c>
    </row>
    <row r="149" customFormat="false" ht="32.25" hidden="false" customHeight="true" outlineLevel="0" collapsed="false">
      <c r="A149" s="5" t="n">
        <v>145</v>
      </c>
      <c r="B149" s="5" t="s">
        <v>116</v>
      </c>
      <c r="C149" s="5" t="s">
        <v>342</v>
      </c>
      <c r="D149" s="5" t="s">
        <v>343</v>
      </c>
      <c r="E149" s="5" t="s">
        <v>711</v>
      </c>
      <c r="F149" s="5" t="s">
        <v>345</v>
      </c>
      <c r="G149" s="5" t="s">
        <v>308</v>
      </c>
      <c r="H149" s="5" t="s">
        <v>712</v>
      </c>
      <c r="I149" s="5" t="s">
        <v>210</v>
      </c>
      <c r="J149" s="5"/>
      <c r="K149" s="5"/>
      <c r="L149" s="5"/>
      <c r="M149" s="5"/>
      <c r="N149" s="5" t="s">
        <v>23</v>
      </c>
    </row>
    <row r="150" customFormat="false" ht="15" hidden="false" customHeight="true" outlineLevel="0" collapsed="false">
      <c r="A150" s="5" t="n">
        <v>146</v>
      </c>
      <c r="B150" s="5" t="s">
        <v>116</v>
      </c>
      <c r="C150" s="5" t="s">
        <v>713</v>
      </c>
      <c r="D150" s="5" t="s">
        <v>714</v>
      </c>
      <c r="E150" s="5" t="s">
        <v>206</v>
      </c>
      <c r="F150" s="5" t="s">
        <v>222</v>
      </c>
      <c r="G150" s="5" t="s">
        <v>715</v>
      </c>
      <c r="H150" s="5" t="s">
        <v>223</v>
      </c>
      <c r="I150" s="5" t="s">
        <v>210</v>
      </c>
      <c r="J150" s="5"/>
      <c r="K150" s="5"/>
      <c r="L150" s="5" t="s">
        <v>315</v>
      </c>
      <c r="M150" s="5"/>
      <c r="N150" s="5" t="s">
        <v>23</v>
      </c>
    </row>
    <row r="151" customFormat="false" ht="21.75" hidden="false" customHeight="true" outlineLevel="0" collapsed="false">
      <c r="A151" s="5" t="n">
        <v>147</v>
      </c>
      <c r="B151" s="5" t="s">
        <v>116</v>
      </c>
      <c r="C151" s="5" t="s">
        <v>716</v>
      </c>
      <c r="D151" s="5" t="s">
        <v>717</v>
      </c>
      <c r="E151" s="5" t="s">
        <v>358</v>
      </c>
      <c r="F151" s="5" t="s">
        <v>359</v>
      </c>
      <c r="G151" s="5" t="s">
        <v>360</v>
      </c>
      <c r="H151" s="5"/>
      <c r="I151" s="5" t="s">
        <v>567</v>
      </c>
      <c r="J151" s="5"/>
      <c r="K151" s="5"/>
      <c r="L151" s="5"/>
      <c r="M151" s="5" t="s">
        <v>718</v>
      </c>
      <c r="N151" s="5" t="s">
        <v>23</v>
      </c>
    </row>
    <row r="152" customFormat="false" ht="15" hidden="false" customHeight="true" outlineLevel="0" collapsed="false">
      <c r="A152" s="5" t="n">
        <v>148</v>
      </c>
      <c r="B152" s="5" t="s">
        <v>116</v>
      </c>
      <c r="C152" s="5" t="s">
        <v>719</v>
      </c>
      <c r="D152" s="5" t="s">
        <v>720</v>
      </c>
      <c r="E152" s="5" t="s">
        <v>358</v>
      </c>
      <c r="F152" s="5" t="s">
        <v>359</v>
      </c>
      <c r="G152" s="5" t="s">
        <v>360</v>
      </c>
      <c r="H152" s="5" t="s">
        <v>721</v>
      </c>
      <c r="I152" s="5" t="s">
        <v>567</v>
      </c>
      <c r="J152" s="5"/>
      <c r="K152" s="5"/>
      <c r="L152" s="5"/>
      <c r="M152" s="5" t="s">
        <v>722</v>
      </c>
      <c r="N152" s="5" t="s">
        <v>23</v>
      </c>
    </row>
    <row r="153" customFormat="false" ht="15" hidden="false" customHeight="true" outlineLevel="0" collapsed="false">
      <c r="A153" s="5" t="n">
        <v>149</v>
      </c>
      <c r="B153" s="5" t="s">
        <v>116</v>
      </c>
      <c r="C153" s="5" t="s">
        <v>321</v>
      </c>
      <c r="D153" s="5" t="s">
        <v>322</v>
      </c>
      <c r="E153" s="5" t="s">
        <v>294</v>
      </c>
      <c r="F153" s="5" t="s">
        <v>723</v>
      </c>
      <c r="G153" s="5"/>
      <c r="H153" s="5" t="s">
        <v>350</v>
      </c>
      <c r="I153" s="5" t="s">
        <v>210</v>
      </c>
      <c r="J153" s="5"/>
      <c r="K153" s="5"/>
      <c r="L153" s="5" t="s">
        <v>325</v>
      </c>
      <c r="M153" s="5" t="s">
        <v>724</v>
      </c>
      <c r="N153" s="5" t="s">
        <v>23</v>
      </c>
    </row>
    <row r="154" customFormat="false" ht="21.75" hidden="false" customHeight="true" outlineLevel="0" collapsed="false">
      <c r="A154" s="5" t="n">
        <v>150</v>
      </c>
      <c r="B154" s="5" t="s">
        <v>116</v>
      </c>
      <c r="C154" s="5" t="s">
        <v>348</v>
      </c>
      <c r="D154" s="5" t="s">
        <v>725</v>
      </c>
      <c r="E154" s="5" t="s">
        <v>294</v>
      </c>
      <c r="F154" s="5" t="s">
        <v>295</v>
      </c>
      <c r="G154" s="5" t="s">
        <v>296</v>
      </c>
      <c r="H154" s="5" t="s">
        <v>350</v>
      </c>
      <c r="I154" s="5" t="s">
        <v>210</v>
      </c>
      <c r="J154" s="5"/>
      <c r="K154" s="5"/>
      <c r="L154" s="5"/>
      <c r="M154" s="5" t="s">
        <v>726</v>
      </c>
      <c r="N154" s="5" t="s">
        <v>23</v>
      </c>
    </row>
    <row r="155" customFormat="false" ht="15" hidden="false" customHeight="true" outlineLevel="0" collapsed="false">
      <c r="A155" s="5" t="n">
        <v>151</v>
      </c>
      <c r="B155" s="5" t="s">
        <v>116</v>
      </c>
      <c r="C155" s="5" t="s">
        <v>727</v>
      </c>
      <c r="D155" s="5" t="s">
        <v>728</v>
      </c>
      <c r="E155" s="5" t="s">
        <v>294</v>
      </c>
      <c r="F155" s="5" t="s">
        <v>729</v>
      </c>
      <c r="G155" s="5" t="s">
        <v>730</v>
      </c>
      <c r="H155" s="5" t="s">
        <v>731</v>
      </c>
      <c r="I155" s="5" t="s">
        <v>210</v>
      </c>
      <c r="J155" s="5"/>
      <c r="K155" s="5"/>
      <c r="L155" s="5" t="s">
        <v>325</v>
      </c>
      <c r="M155" s="5" t="s">
        <v>732</v>
      </c>
      <c r="N155" s="5" t="s">
        <v>23</v>
      </c>
    </row>
    <row r="156" customFormat="false" ht="21.75" hidden="false" customHeight="true" outlineLevel="0" collapsed="false">
      <c r="A156" s="5" t="n">
        <v>152</v>
      </c>
      <c r="B156" s="5" t="s">
        <v>116</v>
      </c>
      <c r="C156" s="5" t="s">
        <v>733</v>
      </c>
      <c r="D156" s="5" t="s">
        <v>734</v>
      </c>
      <c r="E156" s="5" t="s">
        <v>294</v>
      </c>
      <c r="F156" s="5" t="s">
        <v>735</v>
      </c>
      <c r="G156" s="5" t="s">
        <v>296</v>
      </c>
      <c r="H156" s="5" t="s">
        <v>736</v>
      </c>
      <c r="I156" s="5" t="s">
        <v>210</v>
      </c>
      <c r="J156" s="5"/>
      <c r="K156" s="5"/>
      <c r="L156" s="5"/>
      <c r="M156" s="5" t="s">
        <v>737</v>
      </c>
      <c r="N156" s="5" t="s">
        <v>23</v>
      </c>
    </row>
    <row r="157" customFormat="false" ht="15" hidden="false" customHeight="true" outlineLevel="0" collapsed="false">
      <c r="A157" s="5" t="n">
        <v>153</v>
      </c>
      <c r="B157" s="5" t="s">
        <v>122</v>
      </c>
      <c r="C157" s="5" t="s">
        <v>126</v>
      </c>
      <c r="D157" s="5" t="s">
        <v>738</v>
      </c>
      <c r="E157" s="5" t="s">
        <v>206</v>
      </c>
      <c r="F157" s="5" t="s">
        <v>253</v>
      </c>
      <c r="G157" s="5" t="s">
        <v>739</v>
      </c>
      <c r="H157" s="5" t="s">
        <v>314</v>
      </c>
      <c r="I157" s="5" t="s">
        <v>210</v>
      </c>
      <c r="J157" s="5" t="s">
        <v>211</v>
      </c>
      <c r="K157" s="5"/>
      <c r="L157" s="5" t="s">
        <v>315</v>
      </c>
      <c r="M157" s="5"/>
      <c r="N157" s="5" t="s">
        <v>23</v>
      </c>
    </row>
    <row r="158" customFormat="false" ht="32.25" hidden="false" customHeight="true" outlineLevel="0" collapsed="false">
      <c r="A158" s="5" t="n">
        <v>154</v>
      </c>
      <c r="B158" s="5" t="s">
        <v>122</v>
      </c>
      <c r="C158" s="5" t="s">
        <v>112</v>
      </c>
      <c r="D158" s="5" t="s">
        <v>663</v>
      </c>
      <c r="E158" s="5" t="s">
        <v>206</v>
      </c>
      <c r="F158" s="5" t="s">
        <v>253</v>
      </c>
      <c r="G158" s="5"/>
      <c r="H158" s="5" t="s">
        <v>740</v>
      </c>
      <c r="I158" s="5" t="s">
        <v>210</v>
      </c>
      <c r="J158" s="5" t="s">
        <v>277</v>
      </c>
      <c r="K158" s="5" t="s">
        <v>701</v>
      </c>
      <c r="L158" s="5"/>
      <c r="M158" s="5"/>
      <c r="N158" s="5" t="s">
        <v>23</v>
      </c>
    </row>
    <row r="159" customFormat="false" ht="15" hidden="false" customHeight="true" outlineLevel="0" collapsed="false">
      <c r="A159" s="5" t="n">
        <v>155</v>
      </c>
      <c r="B159" s="5" t="s">
        <v>122</v>
      </c>
      <c r="C159" s="5" t="s">
        <v>741</v>
      </c>
      <c r="D159" s="5" t="s">
        <v>742</v>
      </c>
      <c r="E159" s="5" t="s">
        <v>398</v>
      </c>
      <c r="F159" s="5" t="s">
        <v>399</v>
      </c>
      <c r="G159" s="5" t="s">
        <v>400</v>
      </c>
      <c r="H159" s="5"/>
      <c r="I159" s="5" t="s">
        <v>210</v>
      </c>
      <c r="J159" s="5"/>
      <c r="K159" s="5"/>
      <c r="L159" s="5" t="s">
        <v>401</v>
      </c>
      <c r="M159" s="5"/>
      <c r="N159" s="5" t="s">
        <v>23</v>
      </c>
    </row>
    <row r="160" customFormat="false" ht="32.25" hidden="false" customHeight="true" outlineLevel="0" collapsed="false">
      <c r="A160" s="5" t="n">
        <v>156</v>
      </c>
      <c r="B160" s="5" t="s">
        <v>122</v>
      </c>
      <c r="C160" s="5" t="s">
        <v>743</v>
      </c>
      <c r="D160" s="5" t="s">
        <v>744</v>
      </c>
      <c r="E160" s="5" t="s">
        <v>206</v>
      </c>
      <c r="F160" s="5" t="s">
        <v>333</v>
      </c>
      <c r="G160" s="5" t="s">
        <v>601</v>
      </c>
      <c r="H160" s="5"/>
      <c r="I160" s="5" t="s">
        <v>230</v>
      </c>
      <c r="J160" s="5"/>
      <c r="K160" s="5"/>
      <c r="L160" s="5"/>
      <c r="M160" s="5" t="s">
        <v>745</v>
      </c>
      <c r="N160" s="5" t="s">
        <v>23</v>
      </c>
    </row>
    <row r="161" customFormat="false" ht="21.75" hidden="false" customHeight="true" outlineLevel="0" collapsed="false">
      <c r="A161" s="5" t="n">
        <v>157</v>
      </c>
      <c r="B161" s="5" t="s">
        <v>122</v>
      </c>
      <c r="C161" s="5" t="s">
        <v>306</v>
      </c>
      <c r="D161" s="5" t="s">
        <v>384</v>
      </c>
      <c r="E161" s="5" t="s">
        <v>127</v>
      </c>
      <c r="F161" s="5" t="s">
        <v>253</v>
      </c>
      <c r="G161" s="5" t="s">
        <v>308</v>
      </c>
      <c r="H161" s="5" t="s">
        <v>746</v>
      </c>
      <c r="I161" s="5" t="s">
        <v>210</v>
      </c>
      <c r="J161" s="5"/>
      <c r="K161" s="5"/>
      <c r="L161" s="5" t="s">
        <v>747</v>
      </c>
      <c r="M161" s="5"/>
      <c r="N161" s="5" t="s">
        <v>23</v>
      </c>
    </row>
    <row r="162" customFormat="false" ht="15" hidden="false" customHeight="true" outlineLevel="0" collapsed="false">
      <c r="A162" s="5" t="n">
        <v>158</v>
      </c>
      <c r="B162" s="5" t="s">
        <v>122</v>
      </c>
      <c r="C162" s="5" t="s">
        <v>748</v>
      </c>
      <c r="D162" s="5" t="s">
        <v>749</v>
      </c>
      <c r="E162" s="5" t="s">
        <v>206</v>
      </c>
      <c r="F162" s="5" t="s">
        <v>333</v>
      </c>
      <c r="G162" s="5"/>
      <c r="H162" s="5" t="s">
        <v>334</v>
      </c>
      <c r="I162" s="5" t="s">
        <v>567</v>
      </c>
      <c r="J162" s="5"/>
      <c r="K162" s="5"/>
      <c r="L162" s="5"/>
      <c r="M162" s="5" t="s">
        <v>750</v>
      </c>
      <c r="N162" s="5" t="s">
        <v>23</v>
      </c>
    </row>
    <row r="163" customFormat="false" ht="15" hidden="false" customHeight="true" outlineLevel="0" collapsed="false">
      <c r="A163" s="5" t="n">
        <v>159</v>
      </c>
      <c r="B163" s="5" t="s">
        <v>129</v>
      </c>
      <c r="C163" s="5" t="s">
        <v>132</v>
      </c>
      <c r="D163" s="5" t="s">
        <v>751</v>
      </c>
      <c r="E163" s="5" t="s">
        <v>206</v>
      </c>
      <c r="F163" s="5" t="s">
        <v>253</v>
      </c>
      <c r="G163" s="5" t="s">
        <v>752</v>
      </c>
      <c r="H163" s="5" t="s">
        <v>753</v>
      </c>
      <c r="I163" s="5" t="s">
        <v>210</v>
      </c>
      <c r="J163" s="5" t="s">
        <v>211</v>
      </c>
      <c r="K163" s="5"/>
      <c r="L163" s="5" t="s">
        <v>315</v>
      </c>
      <c r="M163" s="5" t="s">
        <v>754</v>
      </c>
      <c r="N163" s="5" t="s">
        <v>23</v>
      </c>
    </row>
    <row r="164" customFormat="false" ht="21.75" hidden="false" customHeight="true" outlineLevel="0" collapsed="false">
      <c r="A164" s="5" t="n">
        <v>160</v>
      </c>
      <c r="B164" s="5" t="s">
        <v>129</v>
      </c>
      <c r="C164" s="5" t="s">
        <v>112</v>
      </c>
      <c r="D164" s="5" t="s">
        <v>663</v>
      </c>
      <c r="E164" s="5" t="s">
        <v>206</v>
      </c>
      <c r="F164" s="5" t="s">
        <v>253</v>
      </c>
      <c r="G164" s="5"/>
      <c r="H164" s="5" t="s">
        <v>700</v>
      </c>
      <c r="I164" s="5" t="s">
        <v>210</v>
      </c>
      <c r="J164" s="5" t="s">
        <v>277</v>
      </c>
      <c r="K164" s="5" t="s">
        <v>701</v>
      </c>
      <c r="L164" s="5"/>
      <c r="M164" s="5"/>
      <c r="N164" s="5" t="s">
        <v>23</v>
      </c>
    </row>
    <row r="165" customFormat="false" ht="15" hidden="false" customHeight="true" outlineLevel="0" collapsed="false">
      <c r="A165" s="5" t="n">
        <v>161</v>
      </c>
      <c r="B165" s="5" t="s">
        <v>129</v>
      </c>
      <c r="C165" s="5" t="s">
        <v>126</v>
      </c>
      <c r="D165" s="5" t="s">
        <v>738</v>
      </c>
      <c r="E165" s="5" t="s">
        <v>206</v>
      </c>
      <c r="F165" s="5" t="s">
        <v>253</v>
      </c>
      <c r="G165" s="5"/>
      <c r="H165" s="5"/>
      <c r="I165" s="5" t="s">
        <v>230</v>
      </c>
      <c r="J165" s="5" t="s">
        <v>277</v>
      </c>
      <c r="K165" s="5" t="s">
        <v>755</v>
      </c>
      <c r="L165" s="5" t="s">
        <v>364</v>
      </c>
      <c r="M165" s="5" t="s">
        <v>756</v>
      </c>
      <c r="N165" s="5" t="s">
        <v>23</v>
      </c>
    </row>
    <row r="166" customFormat="false" ht="15" hidden="false" customHeight="true" outlineLevel="0" collapsed="false">
      <c r="A166" s="5" t="n">
        <v>162</v>
      </c>
      <c r="B166" s="5" t="s">
        <v>129</v>
      </c>
      <c r="C166" s="5" t="s">
        <v>757</v>
      </c>
      <c r="D166" s="5" t="s">
        <v>758</v>
      </c>
      <c r="E166" s="5" t="s">
        <v>358</v>
      </c>
      <c r="F166" s="5" t="s">
        <v>359</v>
      </c>
      <c r="G166" s="5" t="s">
        <v>360</v>
      </c>
      <c r="H166" s="5" t="s">
        <v>759</v>
      </c>
      <c r="I166" s="5" t="s">
        <v>210</v>
      </c>
      <c r="J166" s="5"/>
      <c r="K166" s="5"/>
      <c r="L166" s="5" t="s">
        <v>597</v>
      </c>
      <c r="M166" s="5"/>
      <c r="N166" s="5" t="s">
        <v>23</v>
      </c>
    </row>
    <row r="167" customFormat="false" ht="15" hidden="false" customHeight="true" outlineLevel="0" collapsed="false">
      <c r="A167" s="5" t="n">
        <v>163</v>
      </c>
      <c r="B167" s="5" t="s">
        <v>129</v>
      </c>
      <c r="C167" s="5" t="s">
        <v>760</v>
      </c>
      <c r="D167" s="5" t="s">
        <v>761</v>
      </c>
      <c r="E167" s="5" t="s">
        <v>206</v>
      </c>
      <c r="F167" s="5" t="s">
        <v>216</v>
      </c>
      <c r="G167" s="5"/>
      <c r="H167" s="5" t="s">
        <v>218</v>
      </c>
      <c r="I167" s="5" t="s">
        <v>210</v>
      </c>
      <c r="J167" s="5"/>
      <c r="K167" s="5"/>
      <c r="L167" s="5" t="s">
        <v>762</v>
      </c>
      <c r="M167" s="5"/>
      <c r="N167" s="5" t="s">
        <v>23</v>
      </c>
    </row>
    <row r="168" customFormat="false" ht="15" hidden="false" customHeight="true" outlineLevel="0" collapsed="false">
      <c r="A168" s="5" t="n">
        <v>164</v>
      </c>
      <c r="B168" s="5" t="s">
        <v>129</v>
      </c>
      <c r="C168" s="5" t="s">
        <v>763</v>
      </c>
      <c r="D168" s="5" t="s">
        <v>764</v>
      </c>
      <c r="E168" s="5" t="s">
        <v>294</v>
      </c>
      <c r="F168" s="5" t="s">
        <v>295</v>
      </c>
      <c r="G168" s="5" t="s">
        <v>296</v>
      </c>
      <c r="H168" s="5" t="s">
        <v>516</v>
      </c>
      <c r="I168" s="5" t="s">
        <v>210</v>
      </c>
      <c r="J168" s="5"/>
      <c r="K168" s="5"/>
      <c r="L168" s="5" t="s">
        <v>765</v>
      </c>
      <c r="M168" s="5" t="s">
        <v>766</v>
      </c>
      <c r="N168" s="5" t="s">
        <v>23</v>
      </c>
    </row>
    <row r="169" customFormat="false" ht="15" hidden="false" customHeight="true" outlineLevel="0" collapsed="false">
      <c r="A169" s="5" t="n">
        <v>165</v>
      </c>
      <c r="B169" s="5" t="s">
        <v>129</v>
      </c>
      <c r="C169" s="5" t="s">
        <v>767</v>
      </c>
      <c r="D169" s="5" t="s">
        <v>768</v>
      </c>
      <c r="E169" s="5" t="s">
        <v>769</v>
      </c>
      <c r="F169" s="5" t="s">
        <v>253</v>
      </c>
      <c r="G169" s="5" t="s">
        <v>308</v>
      </c>
      <c r="H169" s="5" t="s">
        <v>770</v>
      </c>
      <c r="I169" s="5" t="s">
        <v>210</v>
      </c>
      <c r="J169" s="5"/>
      <c r="K169" s="5"/>
      <c r="L169" s="5"/>
      <c r="M169" s="5"/>
      <c r="N169" s="5" t="s">
        <v>23</v>
      </c>
    </row>
    <row r="170" customFormat="false" ht="15" hidden="false" customHeight="true" outlineLevel="0" collapsed="false">
      <c r="A170" s="5" t="n">
        <v>166</v>
      </c>
      <c r="B170" s="5" t="s">
        <v>129</v>
      </c>
      <c r="C170" s="5" t="s">
        <v>306</v>
      </c>
      <c r="D170" s="5" t="s">
        <v>384</v>
      </c>
      <c r="E170" s="5" t="s">
        <v>133</v>
      </c>
      <c r="F170" s="5" t="s">
        <v>253</v>
      </c>
      <c r="G170" s="5" t="s">
        <v>308</v>
      </c>
      <c r="H170" s="5" t="s">
        <v>771</v>
      </c>
      <c r="I170" s="5" t="s">
        <v>210</v>
      </c>
      <c r="J170" s="5"/>
      <c r="K170" s="5"/>
      <c r="L170" s="5" t="s">
        <v>772</v>
      </c>
      <c r="M170" s="5" t="s">
        <v>773</v>
      </c>
      <c r="N170" s="5" t="s">
        <v>23</v>
      </c>
    </row>
    <row r="171" customFormat="false" ht="15" hidden="false" customHeight="true" outlineLevel="0" collapsed="false">
      <c r="A171" s="5" t="n">
        <v>167</v>
      </c>
      <c r="B171" s="5" t="s">
        <v>129</v>
      </c>
      <c r="C171" s="5" t="s">
        <v>696</v>
      </c>
      <c r="D171" s="5" t="s">
        <v>697</v>
      </c>
      <c r="E171" s="5" t="s">
        <v>206</v>
      </c>
      <c r="F171" s="5" t="s">
        <v>333</v>
      </c>
      <c r="G171" s="5"/>
      <c r="H171" s="5" t="s">
        <v>334</v>
      </c>
      <c r="I171" s="5" t="s">
        <v>567</v>
      </c>
      <c r="J171" s="5"/>
      <c r="K171" s="5"/>
      <c r="L171" s="5"/>
      <c r="M171" s="5" t="s">
        <v>698</v>
      </c>
      <c r="N171" s="5" t="s">
        <v>23</v>
      </c>
    </row>
    <row r="172" customFormat="false" ht="15" hidden="false" customHeight="true" outlineLevel="0" collapsed="false">
      <c r="A172" s="5" t="n">
        <v>168</v>
      </c>
      <c r="B172" s="5" t="s">
        <v>136</v>
      </c>
      <c r="C172" s="5" t="s">
        <v>140</v>
      </c>
      <c r="D172" s="5" t="s">
        <v>667</v>
      </c>
      <c r="E172" s="5" t="s">
        <v>206</v>
      </c>
      <c r="F172" s="5" t="s">
        <v>253</v>
      </c>
      <c r="G172" s="5" t="s">
        <v>774</v>
      </c>
      <c r="H172" s="5" t="s">
        <v>314</v>
      </c>
      <c r="I172" s="5" t="s">
        <v>210</v>
      </c>
      <c r="J172" s="5" t="s">
        <v>211</v>
      </c>
      <c r="K172" s="5"/>
      <c r="L172" s="5" t="s">
        <v>315</v>
      </c>
      <c r="M172" s="5"/>
      <c r="N172" s="5" t="s">
        <v>23</v>
      </c>
    </row>
    <row r="173" customFormat="false" ht="15" hidden="false" customHeight="true" outlineLevel="0" collapsed="false">
      <c r="A173" s="5" t="n">
        <v>169</v>
      </c>
      <c r="B173" s="5" t="s">
        <v>136</v>
      </c>
      <c r="C173" s="5" t="s">
        <v>77</v>
      </c>
      <c r="D173" s="5" t="s">
        <v>491</v>
      </c>
      <c r="E173" s="5" t="s">
        <v>206</v>
      </c>
      <c r="F173" s="5" t="s">
        <v>253</v>
      </c>
      <c r="G173" s="5"/>
      <c r="H173" s="5" t="s">
        <v>775</v>
      </c>
      <c r="I173" s="5" t="s">
        <v>210</v>
      </c>
      <c r="J173" s="5" t="s">
        <v>776</v>
      </c>
      <c r="K173" s="5" t="s">
        <v>564</v>
      </c>
      <c r="L173" s="5"/>
      <c r="M173" s="5"/>
      <c r="N173" s="5" t="s">
        <v>23</v>
      </c>
    </row>
    <row r="174" customFormat="false" ht="15" hidden="false" customHeight="true" outlineLevel="0" collapsed="false">
      <c r="A174" s="5" t="n">
        <v>170</v>
      </c>
      <c r="B174" s="5" t="s">
        <v>136</v>
      </c>
      <c r="C174" s="5" t="s">
        <v>777</v>
      </c>
      <c r="D174" s="5" t="s">
        <v>778</v>
      </c>
      <c r="E174" s="5" t="s">
        <v>358</v>
      </c>
      <c r="F174" s="5" t="s">
        <v>359</v>
      </c>
      <c r="G174" s="5" t="s">
        <v>360</v>
      </c>
      <c r="H174" s="5" t="s">
        <v>779</v>
      </c>
      <c r="I174" s="5" t="s">
        <v>210</v>
      </c>
      <c r="J174" s="5"/>
      <c r="K174" s="5"/>
      <c r="L174" s="5"/>
      <c r="M174" s="5" t="s">
        <v>780</v>
      </c>
      <c r="N174" s="5" t="s">
        <v>23</v>
      </c>
    </row>
    <row r="175" customFormat="false" ht="15" hidden="false" customHeight="true" outlineLevel="0" collapsed="false">
      <c r="A175" s="5" t="n">
        <v>171</v>
      </c>
      <c r="B175" s="5" t="s">
        <v>136</v>
      </c>
      <c r="C175" s="5" t="s">
        <v>519</v>
      </c>
      <c r="D175" s="5" t="s">
        <v>781</v>
      </c>
      <c r="E175" s="5" t="s">
        <v>294</v>
      </c>
      <c r="F175" s="5" t="s">
        <v>295</v>
      </c>
      <c r="G175" s="5" t="s">
        <v>296</v>
      </c>
      <c r="H175" s="5" t="s">
        <v>350</v>
      </c>
      <c r="I175" s="5" t="s">
        <v>210</v>
      </c>
      <c r="J175" s="5"/>
      <c r="K175" s="5"/>
      <c r="L175" s="5" t="s">
        <v>782</v>
      </c>
      <c r="M175" s="5"/>
      <c r="N175" s="5" t="s">
        <v>23</v>
      </c>
    </row>
    <row r="176" customFormat="false" ht="15" hidden="false" customHeight="true" outlineLevel="0" collapsed="false">
      <c r="A176" s="5" t="n">
        <v>172</v>
      </c>
      <c r="B176" s="5" t="s">
        <v>136</v>
      </c>
      <c r="C176" s="5" t="s">
        <v>783</v>
      </c>
      <c r="D176" s="5" t="s">
        <v>784</v>
      </c>
      <c r="E176" s="5" t="s">
        <v>294</v>
      </c>
      <c r="F176" s="5" t="s">
        <v>295</v>
      </c>
      <c r="G176" s="5" t="s">
        <v>296</v>
      </c>
      <c r="H176" s="5" t="s">
        <v>350</v>
      </c>
      <c r="I176" s="5" t="s">
        <v>210</v>
      </c>
      <c r="J176" s="5"/>
      <c r="K176" s="5"/>
      <c r="L176" s="5" t="s">
        <v>391</v>
      </c>
      <c r="M176" s="5" t="s">
        <v>785</v>
      </c>
      <c r="N176" s="5" t="s">
        <v>23</v>
      </c>
    </row>
    <row r="177" customFormat="false" ht="21.75" hidden="false" customHeight="true" outlineLevel="0" collapsed="false">
      <c r="A177" s="5" t="n">
        <v>173</v>
      </c>
      <c r="B177" s="5" t="s">
        <v>136</v>
      </c>
      <c r="C177" s="5" t="s">
        <v>786</v>
      </c>
      <c r="D177" s="5" t="s">
        <v>787</v>
      </c>
      <c r="E177" s="5" t="s">
        <v>294</v>
      </c>
      <c r="F177" s="5" t="s">
        <v>295</v>
      </c>
      <c r="G177" s="5" t="s">
        <v>296</v>
      </c>
      <c r="H177" s="5" t="s">
        <v>350</v>
      </c>
      <c r="I177" s="5" t="s">
        <v>210</v>
      </c>
      <c r="J177" s="5"/>
      <c r="K177" s="5"/>
      <c r="L177" s="5" t="s">
        <v>391</v>
      </c>
      <c r="M177" s="5" t="s">
        <v>788</v>
      </c>
      <c r="N177" s="5" t="s">
        <v>23</v>
      </c>
    </row>
    <row r="178" customFormat="false" ht="21.75" hidden="false" customHeight="true" outlineLevel="0" collapsed="false">
      <c r="A178" s="5" t="n">
        <v>174</v>
      </c>
      <c r="B178" s="5" t="s">
        <v>136</v>
      </c>
      <c r="C178" s="5" t="s">
        <v>789</v>
      </c>
      <c r="D178" s="5" t="s">
        <v>790</v>
      </c>
      <c r="E178" s="5" t="s">
        <v>294</v>
      </c>
      <c r="F178" s="5" t="s">
        <v>295</v>
      </c>
      <c r="G178" s="5" t="s">
        <v>791</v>
      </c>
      <c r="H178" s="5" t="s">
        <v>792</v>
      </c>
      <c r="I178" s="5" t="s">
        <v>210</v>
      </c>
      <c r="J178" s="5"/>
      <c r="K178" s="5"/>
      <c r="L178" s="5"/>
      <c r="M178" s="5" t="s">
        <v>793</v>
      </c>
      <c r="N178" s="5" t="s">
        <v>23</v>
      </c>
    </row>
    <row r="179" customFormat="false" ht="32.25" hidden="false" customHeight="true" outlineLevel="0" collapsed="false">
      <c r="A179" s="5" t="n">
        <v>175</v>
      </c>
      <c r="B179" s="5" t="s">
        <v>136</v>
      </c>
      <c r="C179" s="5" t="s">
        <v>306</v>
      </c>
      <c r="D179" s="5" t="s">
        <v>384</v>
      </c>
      <c r="E179" s="5" t="s">
        <v>141</v>
      </c>
      <c r="F179" s="5" t="s">
        <v>253</v>
      </c>
      <c r="G179" s="5" t="s">
        <v>308</v>
      </c>
      <c r="H179" s="5" t="s">
        <v>794</v>
      </c>
      <c r="I179" s="5" t="s">
        <v>210</v>
      </c>
      <c r="J179" s="5"/>
      <c r="K179" s="5"/>
      <c r="L179" s="5" t="s">
        <v>694</v>
      </c>
      <c r="M179" s="5" t="s">
        <v>795</v>
      </c>
      <c r="N179" s="5" t="s">
        <v>23</v>
      </c>
    </row>
    <row r="180" customFormat="false" ht="32.25" hidden="false" customHeight="true" outlineLevel="0" collapsed="false">
      <c r="A180" s="5" t="n">
        <v>176</v>
      </c>
      <c r="B180" s="5" t="s">
        <v>136</v>
      </c>
      <c r="C180" s="5" t="s">
        <v>796</v>
      </c>
      <c r="D180" s="5" t="s">
        <v>797</v>
      </c>
      <c r="E180" s="5" t="s">
        <v>206</v>
      </c>
      <c r="F180" s="5" t="s">
        <v>333</v>
      </c>
      <c r="G180" s="5"/>
      <c r="H180" s="5" t="s">
        <v>334</v>
      </c>
      <c r="I180" s="5" t="s">
        <v>567</v>
      </c>
      <c r="J180" s="5"/>
      <c r="K180" s="5"/>
      <c r="L180" s="5"/>
      <c r="M180" s="5" t="s">
        <v>798</v>
      </c>
      <c r="N180" s="5" t="s">
        <v>23</v>
      </c>
    </row>
    <row r="181" customFormat="false" ht="21.75" hidden="false" customHeight="true" outlineLevel="0" collapsed="false">
      <c r="A181" s="5" t="n">
        <v>177</v>
      </c>
      <c r="B181" s="5" t="s">
        <v>136</v>
      </c>
      <c r="C181" s="5" t="s">
        <v>799</v>
      </c>
      <c r="D181" s="5" t="s">
        <v>800</v>
      </c>
      <c r="E181" s="5" t="s">
        <v>301</v>
      </c>
      <c r="F181" s="5" t="s">
        <v>302</v>
      </c>
      <c r="G181" s="5" t="s">
        <v>303</v>
      </c>
      <c r="H181" s="5" t="s">
        <v>801</v>
      </c>
      <c r="I181" s="5" t="s">
        <v>230</v>
      </c>
      <c r="J181" s="5"/>
      <c r="K181" s="5"/>
      <c r="L181" s="5" t="s">
        <v>364</v>
      </c>
      <c r="M181" s="5" t="s">
        <v>802</v>
      </c>
      <c r="N181" s="5" t="s">
        <v>23</v>
      </c>
    </row>
    <row r="182" customFormat="false" ht="15" hidden="false" customHeight="true" outlineLevel="0" collapsed="false">
      <c r="A182" s="5" t="n">
        <v>178</v>
      </c>
      <c r="B182" s="5" t="s">
        <v>136</v>
      </c>
      <c r="C182" s="5" t="s">
        <v>803</v>
      </c>
      <c r="D182" s="5" t="s">
        <v>804</v>
      </c>
      <c r="E182" s="5" t="s">
        <v>206</v>
      </c>
      <c r="F182" s="5" t="s">
        <v>333</v>
      </c>
      <c r="G182" s="5"/>
      <c r="H182" s="5" t="s">
        <v>334</v>
      </c>
      <c r="I182" s="5" t="s">
        <v>567</v>
      </c>
      <c r="J182" s="5"/>
      <c r="K182" s="5"/>
      <c r="L182" s="5"/>
      <c r="M182" s="5" t="s">
        <v>805</v>
      </c>
      <c r="N182" s="5" t="s">
        <v>23</v>
      </c>
    </row>
    <row r="183" customFormat="false" ht="15" hidden="false" customHeight="true" outlineLevel="0" collapsed="false">
      <c r="A183" s="5" t="n">
        <v>179</v>
      </c>
      <c r="B183" s="5" t="s">
        <v>136</v>
      </c>
      <c r="C183" s="5" t="s">
        <v>806</v>
      </c>
      <c r="D183" s="5" t="s">
        <v>807</v>
      </c>
      <c r="E183" s="5" t="s">
        <v>398</v>
      </c>
      <c r="F183" s="5" t="s">
        <v>399</v>
      </c>
      <c r="G183" s="5" t="s">
        <v>400</v>
      </c>
      <c r="H183" s="5"/>
      <c r="I183" s="5" t="s">
        <v>230</v>
      </c>
      <c r="J183" s="5"/>
      <c r="K183" s="5"/>
      <c r="L183" s="5"/>
      <c r="M183" s="5"/>
      <c r="N183" s="5" t="s">
        <v>23</v>
      </c>
    </row>
    <row r="184" customFormat="false" ht="15" hidden="false" customHeight="true" outlineLevel="0" collapsed="false">
      <c r="A184" s="5" t="n">
        <v>180</v>
      </c>
      <c r="B184" s="5" t="s">
        <v>144</v>
      </c>
      <c r="C184" s="5" t="s">
        <v>119</v>
      </c>
      <c r="D184" s="5" t="s">
        <v>699</v>
      </c>
      <c r="E184" s="5" t="s">
        <v>206</v>
      </c>
      <c r="F184" s="5" t="s">
        <v>253</v>
      </c>
      <c r="G184" s="5"/>
      <c r="H184" s="5" t="s">
        <v>314</v>
      </c>
      <c r="I184" s="5" t="s">
        <v>210</v>
      </c>
      <c r="J184" s="5" t="s">
        <v>211</v>
      </c>
      <c r="K184" s="5"/>
      <c r="L184" s="5" t="s">
        <v>315</v>
      </c>
      <c r="M184" s="5"/>
      <c r="N184" s="5" t="s">
        <v>23</v>
      </c>
    </row>
    <row r="185" customFormat="false" ht="15" hidden="false" customHeight="true" outlineLevel="0" collapsed="false">
      <c r="A185" s="5" t="n">
        <v>181</v>
      </c>
      <c r="B185" s="5" t="s">
        <v>144</v>
      </c>
      <c r="C185" s="5" t="s">
        <v>140</v>
      </c>
      <c r="D185" s="5" t="s">
        <v>667</v>
      </c>
      <c r="E185" s="5" t="s">
        <v>206</v>
      </c>
      <c r="F185" s="5" t="s">
        <v>253</v>
      </c>
      <c r="G185" s="5"/>
      <c r="H185" s="5" t="s">
        <v>808</v>
      </c>
      <c r="I185" s="5" t="s">
        <v>210</v>
      </c>
      <c r="J185" s="5" t="s">
        <v>277</v>
      </c>
      <c r="K185" s="5" t="s">
        <v>668</v>
      </c>
      <c r="L185" s="5"/>
      <c r="M185" s="5"/>
      <c r="N185" s="5" t="s">
        <v>23</v>
      </c>
    </row>
    <row r="186" customFormat="false" ht="15" hidden="false" customHeight="true" outlineLevel="0" collapsed="false">
      <c r="A186" s="5" t="n">
        <v>182</v>
      </c>
      <c r="B186" s="5" t="s">
        <v>144</v>
      </c>
      <c r="C186" s="5" t="s">
        <v>342</v>
      </c>
      <c r="D186" s="5" t="s">
        <v>343</v>
      </c>
      <c r="E186" s="5" t="s">
        <v>809</v>
      </c>
      <c r="F186" s="5" t="s">
        <v>345</v>
      </c>
      <c r="G186" s="5" t="s">
        <v>308</v>
      </c>
      <c r="H186" s="5" t="s">
        <v>347</v>
      </c>
      <c r="I186" s="5" t="s">
        <v>210</v>
      </c>
      <c r="J186" s="5"/>
      <c r="K186" s="5"/>
      <c r="L186" s="5"/>
      <c r="M186" s="5" t="s">
        <v>810</v>
      </c>
      <c r="N186" s="5" t="s">
        <v>23</v>
      </c>
    </row>
    <row r="187" customFormat="false" ht="15" hidden="false" customHeight="true" outlineLevel="0" collapsed="false">
      <c r="A187" s="5" t="n">
        <v>183</v>
      </c>
      <c r="B187" s="5" t="s">
        <v>144</v>
      </c>
      <c r="C187" s="5" t="s">
        <v>763</v>
      </c>
      <c r="D187" s="5" t="s">
        <v>764</v>
      </c>
      <c r="E187" s="5" t="s">
        <v>294</v>
      </c>
      <c r="F187" s="5" t="s">
        <v>735</v>
      </c>
      <c r="G187" s="5" t="s">
        <v>296</v>
      </c>
      <c r="H187" s="5" t="s">
        <v>811</v>
      </c>
      <c r="I187" s="5" t="s">
        <v>210</v>
      </c>
      <c r="J187" s="5"/>
      <c r="K187" s="5"/>
      <c r="L187" s="5"/>
      <c r="M187" s="5"/>
      <c r="N187" s="5" t="s">
        <v>23</v>
      </c>
    </row>
    <row r="188" customFormat="false" ht="15" hidden="false" customHeight="true" outlineLevel="0" collapsed="false">
      <c r="A188" s="5" t="n">
        <v>184</v>
      </c>
      <c r="B188" s="5" t="s">
        <v>144</v>
      </c>
      <c r="C188" s="5" t="s">
        <v>331</v>
      </c>
      <c r="D188" s="5" t="s">
        <v>332</v>
      </c>
      <c r="E188" s="5" t="s">
        <v>206</v>
      </c>
      <c r="F188" s="5" t="s">
        <v>333</v>
      </c>
      <c r="G188" s="5"/>
      <c r="H188" s="5" t="s">
        <v>334</v>
      </c>
      <c r="I188" s="5" t="s">
        <v>567</v>
      </c>
      <c r="J188" s="5"/>
      <c r="K188" s="5"/>
      <c r="L188" s="5"/>
      <c r="M188" s="5" t="s">
        <v>812</v>
      </c>
      <c r="N188" s="5" t="s">
        <v>23</v>
      </c>
    </row>
    <row r="189" customFormat="false" ht="32.25" hidden="false" customHeight="true" outlineLevel="0" collapsed="false">
      <c r="A189" s="5" t="n">
        <v>185</v>
      </c>
      <c r="B189" s="5" t="s">
        <v>144</v>
      </c>
      <c r="C189" s="5" t="s">
        <v>813</v>
      </c>
      <c r="D189" s="5" t="s">
        <v>814</v>
      </c>
      <c r="E189" s="5" t="s">
        <v>206</v>
      </c>
      <c r="F189" s="5" t="s">
        <v>528</v>
      </c>
      <c r="G189" s="5" t="s">
        <v>601</v>
      </c>
      <c r="H189" s="5"/>
      <c r="I189" s="5" t="s">
        <v>567</v>
      </c>
      <c r="J189" s="5"/>
      <c r="K189" s="5"/>
      <c r="L189" s="5"/>
      <c r="M189" s="5" t="s">
        <v>815</v>
      </c>
      <c r="N189" s="5" t="s">
        <v>23</v>
      </c>
    </row>
    <row r="190" customFormat="false" ht="15" hidden="false" customHeight="true" outlineLevel="0" collapsed="false">
      <c r="A190" s="5" t="n">
        <v>186</v>
      </c>
      <c r="B190" s="5" t="s">
        <v>148</v>
      </c>
      <c r="C190" s="5" t="s">
        <v>151</v>
      </c>
      <c r="D190" s="5" t="s">
        <v>816</v>
      </c>
      <c r="E190" s="5" t="s">
        <v>206</v>
      </c>
      <c r="F190" s="5" t="s">
        <v>253</v>
      </c>
      <c r="G190" s="5" t="s">
        <v>817</v>
      </c>
      <c r="H190" s="5" t="s">
        <v>818</v>
      </c>
      <c r="I190" s="5" t="s">
        <v>210</v>
      </c>
      <c r="J190" s="5" t="s">
        <v>211</v>
      </c>
      <c r="K190" s="5"/>
      <c r="L190" s="5" t="s">
        <v>315</v>
      </c>
      <c r="M190" s="5"/>
      <c r="N190" s="5" t="s">
        <v>23</v>
      </c>
    </row>
    <row r="191" customFormat="false" ht="15" hidden="false" customHeight="true" outlineLevel="0" collapsed="false">
      <c r="A191" s="5" t="n">
        <v>187</v>
      </c>
      <c r="B191" s="5" t="s">
        <v>148</v>
      </c>
      <c r="C191" s="5" t="s">
        <v>140</v>
      </c>
      <c r="D191" s="5" t="s">
        <v>667</v>
      </c>
      <c r="E191" s="5" t="s">
        <v>206</v>
      </c>
      <c r="F191" s="5" t="s">
        <v>253</v>
      </c>
      <c r="G191" s="5"/>
      <c r="H191" s="5" t="s">
        <v>819</v>
      </c>
      <c r="I191" s="5" t="s">
        <v>210</v>
      </c>
      <c r="J191" s="5" t="s">
        <v>277</v>
      </c>
      <c r="K191" s="5" t="s">
        <v>668</v>
      </c>
      <c r="L191" s="5"/>
      <c r="M191" s="5"/>
      <c r="N191" s="5" t="s">
        <v>23</v>
      </c>
    </row>
    <row r="192" customFormat="false" ht="15" hidden="false" customHeight="true" outlineLevel="0" collapsed="false">
      <c r="A192" s="5" t="n">
        <v>188</v>
      </c>
      <c r="B192" s="5" t="s">
        <v>148</v>
      </c>
      <c r="C192" s="5" t="s">
        <v>820</v>
      </c>
      <c r="D192" s="5" t="s">
        <v>821</v>
      </c>
      <c r="E192" s="5" t="s">
        <v>358</v>
      </c>
      <c r="F192" s="5" t="s">
        <v>359</v>
      </c>
      <c r="G192" s="5" t="s">
        <v>360</v>
      </c>
      <c r="H192" s="5"/>
      <c r="I192" s="5" t="s">
        <v>210</v>
      </c>
      <c r="J192" s="5"/>
      <c r="K192" s="5"/>
      <c r="L192" s="5" t="s">
        <v>597</v>
      </c>
      <c r="M192" s="5"/>
      <c r="N192" s="5" t="s">
        <v>23</v>
      </c>
    </row>
    <row r="193" customFormat="false" ht="15" hidden="false" customHeight="true" outlineLevel="0" collapsed="false">
      <c r="A193" s="5" t="n">
        <v>189</v>
      </c>
      <c r="B193" s="5" t="s">
        <v>148</v>
      </c>
      <c r="C193" s="5" t="s">
        <v>822</v>
      </c>
      <c r="D193" s="5" t="s">
        <v>823</v>
      </c>
      <c r="E193" s="5" t="s">
        <v>206</v>
      </c>
      <c r="F193" s="5" t="s">
        <v>216</v>
      </c>
      <c r="G193" s="5"/>
      <c r="H193" s="5" t="s">
        <v>218</v>
      </c>
      <c r="I193" s="5" t="s">
        <v>210</v>
      </c>
      <c r="J193" s="5"/>
      <c r="K193" s="5"/>
      <c r="L193" s="5" t="s">
        <v>762</v>
      </c>
      <c r="M193" s="5"/>
      <c r="N193" s="5" t="s">
        <v>23</v>
      </c>
    </row>
    <row r="194" customFormat="false" ht="15" hidden="false" customHeight="true" outlineLevel="0" collapsed="false">
      <c r="A194" s="5" t="n">
        <v>190</v>
      </c>
      <c r="B194" s="5" t="s">
        <v>148</v>
      </c>
      <c r="C194" s="5" t="s">
        <v>763</v>
      </c>
      <c r="D194" s="5" t="s">
        <v>764</v>
      </c>
      <c r="E194" s="5" t="s">
        <v>294</v>
      </c>
      <c r="F194" s="5" t="s">
        <v>295</v>
      </c>
      <c r="G194" s="5" t="s">
        <v>296</v>
      </c>
      <c r="H194" s="5" t="s">
        <v>824</v>
      </c>
      <c r="I194" s="5" t="s">
        <v>210</v>
      </c>
      <c r="J194" s="5"/>
      <c r="K194" s="5"/>
      <c r="L194" s="5"/>
      <c r="M194" s="5"/>
      <c r="N194" s="5" t="s">
        <v>23</v>
      </c>
    </row>
    <row r="195" customFormat="false" ht="15" hidden="false" customHeight="true" outlineLevel="0" collapsed="false">
      <c r="A195" s="5" t="n">
        <v>191</v>
      </c>
      <c r="B195" s="5" t="s">
        <v>148</v>
      </c>
      <c r="C195" s="5" t="s">
        <v>767</v>
      </c>
      <c r="D195" s="5" t="s">
        <v>768</v>
      </c>
      <c r="E195" s="5" t="s">
        <v>769</v>
      </c>
      <c r="F195" s="5" t="s">
        <v>253</v>
      </c>
      <c r="G195" s="5" t="s">
        <v>308</v>
      </c>
      <c r="H195" s="5" t="s">
        <v>770</v>
      </c>
      <c r="I195" s="5" t="s">
        <v>210</v>
      </c>
      <c r="J195" s="5"/>
      <c r="K195" s="5"/>
      <c r="L195" s="5"/>
      <c r="M195" s="5"/>
      <c r="N195" s="5" t="s">
        <v>23</v>
      </c>
    </row>
    <row r="196" customFormat="false" ht="15" hidden="false" customHeight="true" outlineLevel="0" collapsed="false">
      <c r="A196" s="5" t="n">
        <v>192</v>
      </c>
      <c r="B196" s="5" t="s">
        <v>153</v>
      </c>
      <c r="C196" s="5" t="s">
        <v>156</v>
      </c>
      <c r="D196" s="5" t="s">
        <v>704</v>
      </c>
      <c r="E196" s="5" t="s">
        <v>206</v>
      </c>
      <c r="F196" s="5" t="s">
        <v>253</v>
      </c>
      <c r="G196" s="5" t="s">
        <v>825</v>
      </c>
      <c r="H196" s="5" t="s">
        <v>314</v>
      </c>
      <c r="I196" s="5" t="s">
        <v>210</v>
      </c>
      <c r="J196" s="5" t="s">
        <v>211</v>
      </c>
      <c r="K196" s="5"/>
      <c r="L196" s="5" t="s">
        <v>315</v>
      </c>
      <c r="M196" s="5"/>
      <c r="N196" s="5" t="s">
        <v>23</v>
      </c>
    </row>
    <row r="197" customFormat="false" ht="15" hidden="false" customHeight="true" outlineLevel="0" collapsed="false">
      <c r="A197" s="5" t="n">
        <v>193</v>
      </c>
      <c r="B197" s="5" t="s">
        <v>153</v>
      </c>
      <c r="C197" s="5" t="s">
        <v>27</v>
      </c>
      <c r="D197" s="5" t="s">
        <v>272</v>
      </c>
      <c r="E197" s="5" t="s">
        <v>206</v>
      </c>
      <c r="F197" s="5" t="s">
        <v>207</v>
      </c>
      <c r="G197" s="5"/>
      <c r="H197" s="5" t="s">
        <v>826</v>
      </c>
      <c r="I197" s="5" t="s">
        <v>210</v>
      </c>
      <c r="J197" s="5" t="s">
        <v>277</v>
      </c>
      <c r="K197" s="5" t="s">
        <v>317</v>
      </c>
      <c r="L197" s="5"/>
      <c r="M197" s="5" t="s">
        <v>827</v>
      </c>
      <c r="N197" s="5" t="s">
        <v>23</v>
      </c>
    </row>
    <row r="198" customFormat="false" ht="21.75" hidden="false" customHeight="true" outlineLevel="0" collapsed="false">
      <c r="A198" s="5" t="n">
        <v>194</v>
      </c>
      <c r="B198" s="5" t="s">
        <v>153</v>
      </c>
      <c r="C198" s="5" t="s">
        <v>828</v>
      </c>
      <c r="D198" s="5" t="s">
        <v>829</v>
      </c>
      <c r="E198" s="5" t="s">
        <v>830</v>
      </c>
      <c r="F198" s="5" t="s">
        <v>253</v>
      </c>
      <c r="G198" s="5" t="s">
        <v>308</v>
      </c>
      <c r="H198" s="5" t="s">
        <v>831</v>
      </c>
      <c r="I198" s="5" t="s">
        <v>210</v>
      </c>
      <c r="J198" s="5"/>
      <c r="K198" s="5"/>
      <c r="L198" s="5"/>
      <c r="M198" s="5"/>
      <c r="N198" s="5" t="s">
        <v>23</v>
      </c>
    </row>
    <row r="199" customFormat="false" ht="15" hidden="false" customHeight="true" outlineLevel="0" collapsed="false">
      <c r="A199" s="5" t="n">
        <v>195</v>
      </c>
      <c r="B199" s="5" t="s">
        <v>153</v>
      </c>
      <c r="C199" s="5" t="s">
        <v>832</v>
      </c>
      <c r="D199" s="5" t="s">
        <v>7</v>
      </c>
      <c r="E199" s="5" t="s">
        <v>206</v>
      </c>
      <c r="F199" s="5" t="s">
        <v>528</v>
      </c>
      <c r="G199" s="5"/>
      <c r="H199" s="5" t="s">
        <v>833</v>
      </c>
      <c r="I199" s="5" t="s">
        <v>210</v>
      </c>
      <c r="J199" s="5"/>
      <c r="K199" s="5"/>
      <c r="L199" s="5"/>
      <c r="M199" s="5"/>
      <c r="N199" s="5" t="s">
        <v>23</v>
      </c>
    </row>
    <row r="200" customFormat="false" ht="32.25" hidden="false" customHeight="true" outlineLevel="0" collapsed="false">
      <c r="A200" s="5" t="n">
        <v>196</v>
      </c>
      <c r="B200" s="5" t="s">
        <v>153</v>
      </c>
      <c r="C200" s="5" t="s">
        <v>599</v>
      </c>
      <c r="D200" s="5" t="s">
        <v>600</v>
      </c>
      <c r="E200" s="5" t="s">
        <v>206</v>
      </c>
      <c r="F200" s="5" t="s">
        <v>528</v>
      </c>
      <c r="G200" s="5" t="s">
        <v>601</v>
      </c>
      <c r="H200" s="5" t="s">
        <v>834</v>
      </c>
      <c r="I200" s="5" t="s">
        <v>230</v>
      </c>
      <c r="J200" s="5"/>
      <c r="K200" s="5"/>
      <c r="L200" s="5"/>
      <c r="M200" s="5"/>
      <c r="N200" s="5" t="s">
        <v>23</v>
      </c>
    </row>
    <row r="201" customFormat="false" ht="21.75" hidden="false" customHeight="true" outlineLevel="0" collapsed="false">
      <c r="A201" s="5" t="n">
        <v>197</v>
      </c>
      <c r="B201" s="5" t="s">
        <v>153</v>
      </c>
      <c r="C201" s="5" t="s">
        <v>835</v>
      </c>
      <c r="D201" s="5" t="s">
        <v>742</v>
      </c>
      <c r="E201" s="5" t="s">
        <v>398</v>
      </c>
      <c r="F201" s="5" t="s">
        <v>399</v>
      </c>
      <c r="G201" s="5" t="s">
        <v>400</v>
      </c>
      <c r="H201" s="5"/>
      <c r="I201" s="5" t="s">
        <v>210</v>
      </c>
      <c r="J201" s="5"/>
      <c r="K201" s="5"/>
      <c r="L201" s="5" t="s">
        <v>401</v>
      </c>
      <c r="M201" s="5" t="s">
        <v>836</v>
      </c>
      <c r="N201" s="5" t="s">
        <v>23</v>
      </c>
    </row>
    <row r="202" customFormat="false" ht="15" hidden="false" customHeight="true" outlineLevel="0" collapsed="false">
      <c r="A202" s="5" t="n">
        <v>198</v>
      </c>
      <c r="B202" s="5" t="s">
        <v>153</v>
      </c>
      <c r="C202" s="5" t="s">
        <v>837</v>
      </c>
      <c r="D202" s="5" t="s">
        <v>838</v>
      </c>
      <c r="E202" s="5" t="s">
        <v>398</v>
      </c>
      <c r="F202" s="5" t="s">
        <v>399</v>
      </c>
      <c r="G202" s="5" t="s">
        <v>839</v>
      </c>
      <c r="H202" s="5" t="s">
        <v>840</v>
      </c>
      <c r="I202" s="5" t="s">
        <v>567</v>
      </c>
      <c r="J202" s="5"/>
      <c r="K202" s="5"/>
      <c r="L202" s="5"/>
      <c r="M202" s="5" t="s">
        <v>841</v>
      </c>
      <c r="N202" s="5" t="s">
        <v>23</v>
      </c>
    </row>
    <row r="203" customFormat="false" ht="15" hidden="false" customHeight="true" outlineLevel="0" collapsed="false">
      <c r="A203" s="5" t="n">
        <v>199</v>
      </c>
      <c r="B203" s="5" t="s">
        <v>153</v>
      </c>
      <c r="C203" s="5" t="s">
        <v>842</v>
      </c>
      <c r="D203" s="5" t="s">
        <v>843</v>
      </c>
      <c r="E203" s="5" t="s">
        <v>206</v>
      </c>
      <c r="F203" s="5" t="s">
        <v>528</v>
      </c>
      <c r="G203" s="5"/>
      <c r="H203" s="5" t="s">
        <v>844</v>
      </c>
      <c r="I203" s="5" t="s">
        <v>567</v>
      </c>
      <c r="J203" s="5"/>
      <c r="K203" s="5"/>
      <c r="L203" s="5"/>
      <c r="M203" s="5" t="s">
        <v>845</v>
      </c>
      <c r="N203" s="5" t="s">
        <v>23</v>
      </c>
    </row>
    <row r="204" customFormat="false" ht="15" hidden="false" customHeight="true" outlineLevel="0" collapsed="false">
      <c r="A204" s="5" t="n">
        <v>200</v>
      </c>
      <c r="B204" s="5" t="s">
        <v>153</v>
      </c>
      <c r="C204" s="5" t="s">
        <v>846</v>
      </c>
      <c r="D204" s="5" t="s">
        <v>847</v>
      </c>
      <c r="E204" s="5" t="s">
        <v>294</v>
      </c>
      <c r="F204" s="5" t="s">
        <v>295</v>
      </c>
      <c r="G204" s="5" t="s">
        <v>296</v>
      </c>
      <c r="H204" s="5" t="s">
        <v>350</v>
      </c>
      <c r="I204" s="5" t="s">
        <v>230</v>
      </c>
      <c r="J204" s="5"/>
      <c r="K204" s="5"/>
      <c r="L204" s="5" t="s">
        <v>391</v>
      </c>
      <c r="M204" s="5"/>
      <c r="N204" s="5" t="s">
        <v>23</v>
      </c>
    </row>
    <row r="205" customFormat="false" ht="15" hidden="false" customHeight="true" outlineLevel="0" collapsed="false">
      <c r="A205" s="5" t="n">
        <v>201</v>
      </c>
      <c r="B205" s="5" t="s">
        <v>153</v>
      </c>
      <c r="C205" s="5" t="s">
        <v>848</v>
      </c>
      <c r="D205" s="5" t="s">
        <v>849</v>
      </c>
      <c r="E205" s="5" t="s">
        <v>301</v>
      </c>
      <c r="F205" s="5" t="s">
        <v>302</v>
      </c>
      <c r="G205" s="5" t="s">
        <v>303</v>
      </c>
      <c r="H205" s="5"/>
      <c r="I205" s="5" t="s">
        <v>210</v>
      </c>
      <c r="J205" s="5"/>
      <c r="K205" s="5"/>
      <c r="L205" s="5" t="s">
        <v>460</v>
      </c>
      <c r="M205" s="5" t="s">
        <v>850</v>
      </c>
      <c r="N205" s="5" t="s">
        <v>23</v>
      </c>
    </row>
    <row r="206" customFormat="false" ht="21.75" hidden="false" customHeight="true" outlineLevel="0" collapsed="false">
      <c r="A206" s="5" t="n">
        <v>202</v>
      </c>
      <c r="B206" s="5" t="s">
        <v>153</v>
      </c>
      <c r="C206" s="5" t="s">
        <v>306</v>
      </c>
      <c r="D206" s="5" t="s">
        <v>384</v>
      </c>
      <c r="E206" s="5" t="s">
        <v>157</v>
      </c>
      <c r="F206" s="5" t="s">
        <v>253</v>
      </c>
      <c r="G206" s="5" t="s">
        <v>308</v>
      </c>
      <c r="H206" s="5" t="s">
        <v>851</v>
      </c>
      <c r="I206" s="5" t="s">
        <v>210</v>
      </c>
      <c r="J206" s="5"/>
      <c r="K206" s="5"/>
      <c r="L206" s="5" t="s">
        <v>852</v>
      </c>
      <c r="M206" s="5"/>
      <c r="N206" s="5" t="s">
        <v>23</v>
      </c>
    </row>
    <row r="207" customFormat="false" ht="15" hidden="false" customHeight="true" outlineLevel="0" collapsed="false">
      <c r="A207" s="5" t="n">
        <v>203</v>
      </c>
      <c r="B207" s="5" t="s">
        <v>153</v>
      </c>
      <c r="C207" s="5" t="s">
        <v>748</v>
      </c>
      <c r="D207" s="5" t="s">
        <v>749</v>
      </c>
      <c r="E207" s="5" t="s">
        <v>206</v>
      </c>
      <c r="F207" s="5" t="s">
        <v>333</v>
      </c>
      <c r="G207" s="5"/>
      <c r="H207" s="5" t="s">
        <v>334</v>
      </c>
      <c r="I207" s="5" t="s">
        <v>567</v>
      </c>
      <c r="J207" s="5"/>
      <c r="K207" s="5"/>
      <c r="L207" s="5"/>
      <c r="M207" s="5" t="s">
        <v>853</v>
      </c>
      <c r="N207" s="5" t="s">
        <v>23</v>
      </c>
    </row>
    <row r="208" customFormat="false" ht="15" hidden="false" customHeight="true" outlineLevel="0" collapsed="false">
      <c r="A208" s="5" t="n">
        <v>204</v>
      </c>
      <c r="B208" s="5" t="s">
        <v>160</v>
      </c>
      <c r="C208" s="5" t="s">
        <v>101</v>
      </c>
      <c r="D208" s="5" t="s">
        <v>606</v>
      </c>
      <c r="E208" s="5" t="s">
        <v>206</v>
      </c>
      <c r="F208" s="5" t="s">
        <v>253</v>
      </c>
      <c r="G208" s="5"/>
      <c r="H208" s="5" t="s">
        <v>314</v>
      </c>
      <c r="I208" s="5" t="s">
        <v>210</v>
      </c>
      <c r="J208" s="5" t="s">
        <v>211</v>
      </c>
      <c r="K208" s="5"/>
      <c r="L208" s="5" t="s">
        <v>315</v>
      </c>
      <c r="M208" s="5" t="s">
        <v>854</v>
      </c>
      <c r="N208" s="5" t="s">
        <v>23</v>
      </c>
    </row>
    <row r="209" customFormat="false" ht="15" hidden="false" customHeight="true" outlineLevel="0" collapsed="false">
      <c r="A209" s="5" t="n">
        <v>205</v>
      </c>
      <c r="B209" s="5" t="s">
        <v>160</v>
      </c>
      <c r="C209" s="5" t="s">
        <v>156</v>
      </c>
      <c r="D209" s="5" t="s">
        <v>704</v>
      </c>
      <c r="E209" s="5" t="s">
        <v>206</v>
      </c>
      <c r="F209" s="5" t="s">
        <v>253</v>
      </c>
      <c r="G209" s="5"/>
      <c r="H209" s="5" t="s">
        <v>855</v>
      </c>
      <c r="I209" s="5" t="s">
        <v>210</v>
      </c>
      <c r="J209" s="5" t="s">
        <v>277</v>
      </c>
      <c r="K209" s="5" t="s">
        <v>705</v>
      </c>
      <c r="L209" s="5"/>
      <c r="M209" s="5"/>
      <c r="N209" s="5" t="s">
        <v>23</v>
      </c>
    </row>
    <row r="210" customFormat="false" ht="15" hidden="false" customHeight="true" outlineLevel="0" collapsed="false">
      <c r="A210" s="5" t="n">
        <v>206</v>
      </c>
      <c r="B210" s="5" t="s">
        <v>160</v>
      </c>
      <c r="C210" s="5" t="s">
        <v>413</v>
      </c>
      <c r="D210" s="5" t="s">
        <v>414</v>
      </c>
      <c r="E210" s="5" t="s">
        <v>398</v>
      </c>
      <c r="F210" s="5" t="s">
        <v>399</v>
      </c>
      <c r="G210" s="5" t="s">
        <v>400</v>
      </c>
      <c r="H210" s="5"/>
      <c r="I210" s="5" t="s">
        <v>210</v>
      </c>
      <c r="J210" s="5"/>
      <c r="K210" s="5"/>
      <c r="L210" s="5" t="s">
        <v>401</v>
      </c>
      <c r="M210" s="5"/>
      <c r="N210" s="5" t="s">
        <v>23</v>
      </c>
    </row>
    <row r="211" customFormat="false" ht="15" hidden="false" customHeight="true" outlineLevel="0" collapsed="false">
      <c r="A211" s="5" t="n">
        <v>207</v>
      </c>
      <c r="B211" s="5" t="s">
        <v>160</v>
      </c>
      <c r="C211" s="5" t="s">
        <v>856</v>
      </c>
      <c r="D211" s="5" t="s">
        <v>857</v>
      </c>
      <c r="E211" s="5" t="s">
        <v>157</v>
      </c>
      <c r="F211" s="5" t="s">
        <v>253</v>
      </c>
      <c r="G211" s="5" t="s">
        <v>308</v>
      </c>
      <c r="H211" s="5"/>
      <c r="I211" s="5" t="s">
        <v>230</v>
      </c>
      <c r="J211" s="5"/>
      <c r="K211" s="5"/>
      <c r="L211" s="5"/>
      <c r="M211" s="5" t="s">
        <v>858</v>
      </c>
      <c r="N211" s="5" t="s">
        <v>23</v>
      </c>
    </row>
    <row r="212" customFormat="false" ht="15" hidden="false" customHeight="true" outlineLevel="0" collapsed="false">
      <c r="A212" s="5" t="n">
        <v>208</v>
      </c>
      <c r="B212" s="5" t="s">
        <v>160</v>
      </c>
      <c r="C212" s="5" t="s">
        <v>859</v>
      </c>
      <c r="D212" s="5" t="s">
        <v>860</v>
      </c>
      <c r="E212" s="5" t="s">
        <v>157</v>
      </c>
      <c r="F212" s="5" t="s">
        <v>253</v>
      </c>
      <c r="G212" s="5" t="s">
        <v>308</v>
      </c>
      <c r="H212" s="5"/>
      <c r="I212" s="5" t="s">
        <v>210</v>
      </c>
      <c r="J212" s="5"/>
      <c r="K212" s="5"/>
      <c r="L212" s="5"/>
      <c r="M212" s="5"/>
      <c r="N212" s="5" t="s">
        <v>23</v>
      </c>
    </row>
    <row r="213" customFormat="false" ht="15" hidden="false" customHeight="true" outlineLevel="0" collapsed="false">
      <c r="A213" s="5" t="n">
        <v>209</v>
      </c>
      <c r="B213" s="5" t="s">
        <v>160</v>
      </c>
      <c r="C213" s="5" t="s">
        <v>861</v>
      </c>
      <c r="D213" s="5" t="s">
        <v>862</v>
      </c>
      <c r="E213" s="5" t="s">
        <v>381</v>
      </c>
      <c r="F213" s="5" t="s">
        <v>253</v>
      </c>
      <c r="G213" s="5" t="s">
        <v>308</v>
      </c>
      <c r="H213" s="5" t="s">
        <v>382</v>
      </c>
      <c r="I213" s="5" t="s">
        <v>210</v>
      </c>
      <c r="J213" s="5"/>
      <c r="K213" s="5"/>
      <c r="L213" s="5"/>
      <c r="M213" s="5"/>
      <c r="N213" s="5" t="s">
        <v>23</v>
      </c>
    </row>
    <row r="214" customFormat="false" ht="15" hidden="false" customHeight="true" outlineLevel="0" collapsed="false">
      <c r="A214" s="5" t="n">
        <v>210</v>
      </c>
      <c r="B214" s="5" t="s">
        <v>160</v>
      </c>
      <c r="C214" s="5" t="s">
        <v>331</v>
      </c>
      <c r="D214" s="5" t="s">
        <v>332</v>
      </c>
      <c r="E214" s="5" t="s">
        <v>206</v>
      </c>
      <c r="F214" s="5" t="s">
        <v>528</v>
      </c>
      <c r="G214" s="5"/>
      <c r="H214" s="5" t="s">
        <v>844</v>
      </c>
      <c r="I214" s="5" t="s">
        <v>230</v>
      </c>
      <c r="J214" s="5"/>
      <c r="K214" s="5"/>
      <c r="L214" s="5"/>
      <c r="M214" s="5" t="s">
        <v>863</v>
      </c>
      <c r="N214" s="5" t="s">
        <v>23</v>
      </c>
    </row>
  </sheetData>
  <autoFilter ref="A4:N211"/>
  <dataValidations count="1">
    <dataValidation allowBlank="true" errorStyle="stop" operator="between" showDropDown="false" showErrorMessage="false" showInputMessage="false" sqref="I5:I214" type="list">
      <formula1>"Y,N,Có điều kiện"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89" activePane="bottomRight" state="frozen"/>
      <selection pane="topLeft" activeCell="A1" activeCellId="0" sqref="A1"/>
      <selection pane="topRight" activeCell="C1" activeCellId="0" sqref="C1"/>
      <selection pane="bottomLeft" activeCell="A89" activeCellId="0" sqref="A89"/>
      <selection pane="bottomRight" activeCell="C104" activeCellId="0" sqref="C104"/>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22"/>
    <col collapsed="false" customWidth="true" hidden="false" outlineLevel="0" max="4" min="4" style="1" width="26"/>
    <col collapsed="false" customWidth="true" hidden="false" outlineLevel="0" max="5" min="5" style="1" width="16"/>
    <col collapsed="false" customWidth="true" hidden="false" outlineLevel="0" max="6" min="6" style="1" width="34"/>
    <col collapsed="false" customWidth="true" hidden="false" outlineLevel="0" max="7" min="7" style="1" width="42"/>
    <col collapsed="false" customWidth="true" hidden="false" outlineLevel="0" max="8" min="8" style="1" width="48"/>
    <col collapsed="false" customWidth="true" hidden="false" outlineLevel="0" max="9" min="9" style="1" width="18"/>
    <col collapsed="false" customWidth="true" hidden="false" outlineLevel="0" max="10" min="10" style="1" width="16"/>
    <col collapsed="false" customWidth="true" hidden="false" outlineLevel="0" max="12" min="11" style="1" width="14"/>
  </cols>
  <sheetData>
    <row r="1" customFormat="false" ht="17.25" hidden="false" customHeight="true" outlineLevel="0" collapsed="false">
      <c r="A1" s="2" t="s">
        <v>864</v>
      </c>
    </row>
    <row r="2" customFormat="false" ht="15" hidden="false" customHeight="true" outlineLevel="0" collapsed="false">
      <c r="A2" s="3" t="s">
        <v>865</v>
      </c>
    </row>
    <row r="4" customFormat="false" ht="31.5" hidden="false" customHeight="true" outlineLevel="0" collapsed="false">
      <c r="A4" s="4" t="s">
        <v>2</v>
      </c>
      <c r="B4" s="4" t="s">
        <v>193</v>
      </c>
      <c r="C4" s="4" t="s">
        <v>866</v>
      </c>
      <c r="D4" s="4" t="s">
        <v>867</v>
      </c>
      <c r="E4" s="4" t="s">
        <v>868</v>
      </c>
      <c r="F4" s="4" t="s">
        <v>7</v>
      </c>
      <c r="G4" s="4" t="s">
        <v>869</v>
      </c>
      <c r="H4" s="4" t="s">
        <v>870</v>
      </c>
      <c r="I4" s="4" t="s">
        <v>871</v>
      </c>
      <c r="J4" s="4" t="s">
        <v>872</v>
      </c>
      <c r="K4" s="4" t="s">
        <v>873</v>
      </c>
      <c r="L4" s="4" t="s">
        <v>14</v>
      </c>
    </row>
    <row r="5" customFormat="false" ht="21.75" hidden="false" customHeight="true" outlineLevel="0" collapsed="false">
      <c r="A5" s="5" t="n">
        <v>1</v>
      </c>
      <c r="B5" s="5" t="s">
        <v>15</v>
      </c>
      <c r="C5" s="5" t="s">
        <v>874</v>
      </c>
      <c r="D5" s="5" t="s">
        <v>875</v>
      </c>
      <c r="E5" s="5" t="s">
        <v>876</v>
      </c>
      <c r="F5" s="5" t="s">
        <v>877</v>
      </c>
      <c r="G5" s="5" t="s">
        <v>878</v>
      </c>
      <c r="H5" s="5" t="s">
        <v>879</v>
      </c>
      <c r="I5" s="5"/>
      <c r="J5" s="5" t="s">
        <v>880</v>
      </c>
      <c r="K5" s="5" t="s">
        <v>881</v>
      </c>
      <c r="L5" s="5" t="s">
        <v>23</v>
      </c>
    </row>
    <row r="6" customFormat="false" ht="32.25" hidden="false" customHeight="true" outlineLevel="0" collapsed="false">
      <c r="A6" s="5" t="n">
        <v>2</v>
      </c>
      <c r="B6" s="5" t="s">
        <v>15</v>
      </c>
      <c r="C6" s="5" t="s">
        <v>882</v>
      </c>
      <c r="D6" s="5" t="s">
        <v>883</v>
      </c>
      <c r="E6" s="5" t="s">
        <v>876</v>
      </c>
      <c r="F6" s="5" t="s">
        <v>884</v>
      </c>
      <c r="G6" s="5" t="s">
        <v>885</v>
      </c>
      <c r="H6" s="5" t="s">
        <v>886</v>
      </c>
      <c r="I6" s="5" t="s">
        <v>887</v>
      </c>
      <c r="J6" s="5" t="s">
        <v>888</v>
      </c>
      <c r="K6" s="5" t="s">
        <v>881</v>
      </c>
      <c r="L6" s="5" t="s">
        <v>419</v>
      </c>
    </row>
    <row r="7" customFormat="false" ht="32.25" hidden="false" customHeight="true" outlineLevel="0" collapsed="false">
      <c r="A7" s="5" t="n">
        <v>3</v>
      </c>
      <c r="B7" s="5" t="s">
        <v>15</v>
      </c>
      <c r="C7" s="5" t="s">
        <v>889</v>
      </c>
      <c r="D7" s="5" t="s">
        <v>890</v>
      </c>
      <c r="E7" s="5" t="s">
        <v>206</v>
      </c>
      <c r="F7" s="5" t="s">
        <v>891</v>
      </c>
      <c r="G7" s="5" t="s">
        <v>892</v>
      </c>
      <c r="H7" s="5" t="s">
        <v>893</v>
      </c>
      <c r="I7" s="5"/>
      <c r="J7" s="5" t="s">
        <v>894</v>
      </c>
      <c r="K7" s="5" t="s">
        <v>895</v>
      </c>
      <c r="L7" s="5" t="s">
        <v>23</v>
      </c>
    </row>
    <row r="8" customFormat="false" ht="21.75" hidden="false" customHeight="true" outlineLevel="0" collapsed="false">
      <c r="A8" s="5" t="n">
        <v>4</v>
      </c>
      <c r="B8" s="5" t="s">
        <v>24</v>
      </c>
      <c r="C8" s="5" t="s">
        <v>896</v>
      </c>
      <c r="D8" s="5" t="s">
        <v>897</v>
      </c>
      <c r="E8" s="5" t="s">
        <v>876</v>
      </c>
      <c r="F8" s="5" t="s">
        <v>898</v>
      </c>
      <c r="G8" s="5" t="s">
        <v>899</v>
      </c>
      <c r="H8" s="5" t="s">
        <v>900</v>
      </c>
      <c r="I8" s="5" t="s">
        <v>901</v>
      </c>
      <c r="J8" s="5" t="s">
        <v>902</v>
      </c>
      <c r="K8" s="5" t="s">
        <v>881</v>
      </c>
      <c r="L8" s="5" t="s">
        <v>23</v>
      </c>
    </row>
    <row r="9" customFormat="false" ht="42.75" hidden="false" customHeight="true" outlineLevel="0" collapsed="false">
      <c r="A9" s="5" t="n">
        <v>5</v>
      </c>
      <c r="B9" s="5" t="s">
        <v>24</v>
      </c>
      <c r="C9" s="5" t="s">
        <v>903</v>
      </c>
      <c r="D9" s="5" t="s">
        <v>904</v>
      </c>
      <c r="E9" s="5" t="s">
        <v>876</v>
      </c>
      <c r="F9" s="5" t="s">
        <v>905</v>
      </c>
      <c r="G9" s="5" t="s">
        <v>906</v>
      </c>
      <c r="H9" s="5" t="s">
        <v>907</v>
      </c>
      <c r="I9" s="5" t="s">
        <v>908</v>
      </c>
      <c r="J9" s="5" t="s">
        <v>902</v>
      </c>
      <c r="K9" s="5" t="s">
        <v>909</v>
      </c>
      <c r="L9" s="5" t="s">
        <v>23</v>
      </c>
    </row>
    <row r="10" customFormat="false" ht="21.75" hidden="false" customHeight="true" outlineLevel="0" collapsed="false">
      <c r="A10" s="5" t="n">
        <v>6</v>
      </c>
      <c r="B10" s="5" t="s">
        <v>24</v>
      </c>
      <c r="C10" s="5" t="s">
        <v>910</v>
      </c>
      <c r="D10" s="5"/>
      <c r="E10" s="5" t="s">
        <v>911</v>
      </c>
      <c r="F10" s="5" t="s">
        <v>912</v>
      </c>
      <c r="G10" s="5"/>
      <c r="H10" s="5" t="s">
        <v>913</v>
      </c>
      <c r="I10" s="5" t="s">
        <v>914</v>
      </c>
      <c r="J10" s="5"/>
      <c r="K10" s="5" t="s">
        <v>895</v>
      </c>
      <c r="L10" s="5" t="s">
        <v>23</v>
      </c>
    </row>
    <row r="11" customFormat="false" ht="15" hidden="false" customHeight="true" outlineLevel="0" collapsed="false">
      <c r="A11" s="5" t="n">
        <v>7</v>
      </c>
      <c r="B11" s="5" t="s">
        <v>24</v>
      </c>
      <c r="C11" s="5" t="s">
        <v>915</v>
      </c>
      <c r="D11" s="5" t="s">
        <v>916</v>
      </c>
      <c r="E11" s="5" t="s">
        <v>301</v>
      </c>
      <c r="F11" s="5" t="s">
        <v>917</v>
      </c>
      <c r="G11" s="5" t="s">
        <v>918</v>
      </c>
      <c r="H11" s="5" t="s">
        <v>919</v>
      </c>
      <c r="I11" s="5" t="s">
        <v>85</v>
      </c>
      <c r="J11" s="5" t="s">
        <v>86</v>
      </c>
      <c r="K11" s="5" t="s">
        <v>895</v>
      </c>
      <c r="L11" s="5" t="s">
        <v>23</v>
      </c>
    </row>
    <row r="12" customFormat="false" ht="21.75" hidden="false" customHeight="true" outlineLevel="0" collapsed="false">
      <c r="A12" s="5" t="n">
        <v>8</v>
      </c>
      <c r="B12" s="5" t="s">
        <v>24</v>
      </c>
      <c r="C12" s="5" t="s">
        <v>920</v>
      </c>
      <c r="D12" s="5"/>
      <c r="E12" s="5" t="s">
        <v>301</v>
      </c>
      <c r="F12" s="5" t="s">
        <v>921</v>
      </c>
      <c r="G12" s="5"/>
      <c r="H12" s="5" t="s">
        <v>922</v>
      </c>
      <c r="I12" s="5" t="s">
        <v>923</v>
      </c>
      <c r="J12" s="5" t="s">
        <v>902</v>
      </c>
      <c r="K12" s="5" t="s">
        <v>895</v>
      </c>
      <c r="L12" s="5" t="s">
        <v>23</v>
      </c>
    </row>
    <row r="13" customFormat="false" ht="21.75" hidden="false" customHeight="true" outlineLevel="0" collapsed="false">
      <c r="A13" s="7" t="n">
        <v>9</v>
      </c>
      <c r="B13" s="7" t="s">
        <v>24</v>
      </c>
      <c r="C13" s="7" t="s">
        <v>924</v>
      </c>
      <c r="D13" s="7"/>
      <c r="E13" s="7" t="s">
        <v>876</v>
      </c>
      <c r="F13" s="7" t="s">
        <v>925</v>
      </c>
      <c r="G13" s="7" t="s">
        <v>926</v>
      </c>
      <c r="H13" s="7" t="s">
        <v>927</v>
      </c>
      <c r="I13" s="7" t="s">
        <v>923</v>
      </c>
      <c r="J13" s="7" t="s">
        <v>902</v>
      </c>
      <c r="K13" s="7" t="s">
        <v>881</v>
      </c>
      <c r="L13" s="7" t="s">
        <v>507</v>
      </c>
    </row>
    <row r="14" customFormat="false" ht="21.75" hidden="false" customHeight="true" outlineLevel="0" collapsed="false">
      <c r="A14" s="5" t="n">
        <v>10</v>
      </c>
      <c r="B14" s="5" t="s">
        <v>24</v>
      </c>
      <c r="C14" s="5" t="s">
        <v>928</v>
      </c>
      <c r="D14" s="5"/>
      <c r="E14" s="5" t="s">
        <v>301</v>
      </c>
      <c r="F14" s="5" t="s">
        <v>929</v>
      </c>
      <c r="G14" s="5"/>
      <c r="H14" s="5" t="s">
        <v>930</v>
      </c>
      <c r="I14" s="5"/>
      <c r="J14" s="5" t="s">
        <v>931</v>
      </c>
      <c r="K14" s="5" t="s">
        <v>895</v>
      </c>
      <c r="L14" s="5" t="s">
        <v>23</v>
      </c>
    </row>
    <row r="15" customFormat="false" ht="15" hidden="false" customHeight="true" outlineLevel="0" collapsed="false">
      <c r="A15" s="5" t="n">
        <v>11</v>
      </c>
      <c r="B15" s="5" t="s">
        <v>31</v>
      </c>
      <c r="C15" s="5" t="s">
        <v>932</v>
      </c>
      <c r="D15" s="5" t="s">
        <v>933</v>
      </c>
      <c r="E15" s="5" t="s">
        <v>876</v>
      </c>
      <c r="F15" s="5" t="s">
        <v>934</v>
      </c>
      <c r="G15" s="5" t="s">
        <v>935</v>
      </c>
      <c r="H15" s="5" t="s">
        <v>936</v>
      </c>
      <c r="I15" s="5"/>
      <c r="J15" s="5" t="s">
        <v>35</v>
      </c>
      <c r="K15" s="5" t="s">
        <v>881</v>
      </c>
      <c r="L15" s="5" t="s">
        <v>23</v>
      </c>
    </row>
    <row r="16" customFormat="false" ht="32.25" hidden="false" customHeight="true" outlineLevel="0" collapsed="false">
      <c r="A16" s="5" t="n">
        <v>12</v>
      </c>
      <c r="B16" s="5" t="s">
        <v>36</v>
      </c>
      <c r="C16" s="5" t="s">
        <v>937</v>
      </c>
      <c r="D16" s="5" t="s">
        <v>938</v>
      </c>
      <c r="E16" s="5" t="s">
        <v>294</v>
      </c>
      <c r="F16" s="5" t="s">
        <v>939</v>
      </c>
      <c r="G16" s="5"/>
      <c r="H16" s="5" t="s">
        <v>940</v>
      </c>
      <c r="I16" s="5" t="s">
        <v>40</v>
      </c>
      <c r="J16" s="5" t="s">
        <v>941</v>
      </c>
      <c r="K16" s="5" t="s">
        <v>895</v>
      </c>
      <c r="L16" s="5" t="s">
        <v>23</v>
      </c>
    </row>
    <row r="17" customFormat="false" ht="32.25" hidden="false" customHeight="true" outlineLevel="0" collapsed="false">
      <c r="A17" s="5" t="n">
        <v>13</v>
      </c>
      <c r="B17" s="5" t="s">
        <v>36</v>
      </c>
      <c r="C17" s="5" t="s">
        <v>942</v>
      </c>
      <c r="D17" s="5" t="s">
        <v>943</v>
      </c>
      <c r="E17" s="5" t="s">
        <v>36</v>
      </c>
      <c r="F17" s="5" t="s">
        <v>944</v>
      </c>
      <c r="G17" s="5" t="s">
        <v>945</v>
      </c>
      <c r="H17" s="5" t="s">
        <v>946</v>
      </c>
      <c r="I17" s="5" t="s">
        <v>40</v>
      </c>
      <c r="J17" s="5" t="s">
        <v>947</v>
      </c>
      <c r="K17" s="5" t="s">
        <v>881</v>
      </c>
      <c r="L17" s="5" t="s">
        <v>23</v>
      </c>
    </row>
    <row r="18" customFormat="false" ht="32.25" hidden="false" customHeight="true" outlineLevel="0" collapsed="false">
      <c r="A18" s="5" t="n">
        <v>14</v>
      </c>
      <c r="B18" s="5" t="s">
        <v>42</v>
      </c>
      <c r="C18" s="5" t="s">
        <v>948</v>
      </c>
      <c r="D18" s="5" t="s">
        <v>949</v>
      </c>
      <c r="E18" s="5" t="s">
        <v>950</v>
      </c>
      <c r="F18" s="5" t="s">
        <v>951</v>
      </c>
      <c r="G18" s="5" t="s">
        <v>952</v>
      </c>
      <c r="H18" s="5" t="s">
        <v>953</v>
      </c>
      <c r="I18" s="5" t="s">
        <v>48</v>
      </c>
      <c r="J18" s="5" t="s">
        <v>954</v>
      </c>
      <c r="K18" s="5" t="s">
        <v>909</v>
      </c>
      <c r="L18" s="5" t="s">
        <v>419</v>
      </c>
    </row>
    <row r="19" customFormat="false" ht="32.25" hidden="false" customHeight="true" outlineLevel="0" collapsed="false">
      <c r="A19" s="5" t="n">
        <v>15</v>
      </c>
      <c r="B19" s="5" t="s">
        <v>42</v>
      </c>
      <c r="C19" s="5" t="s">
        <v>955</v>
      </c>
      <c r="D19" s="5" t="s">
        <v>956</v>
      </c>
      <c r="E19" s="5" t="s">
        <v>301</v>
      </c>
      <c r="F19" s="5" t="s">
        <v>957</v>
      </c>
      <c r="G19" s="5" t="s">
        <v>958</v>
      </c>
      <c r="H19" s="5" t="s">
        <v>959</v>
      </c>
      <c r="I19" s="5" t="s">
        <v>54</v>
      </c>
      <c r="J19" s="5" t="s">
        <v>960</v>
      </c>
      <c r="K19" s="5" t="s">
        <v>961</v>
      </c>
      <c r="L19" s="5" t="s">
        <v>23</v>
      </c>
    </row>
    <row r="20" customFormat="false" ht="21.75" hidden="false" customHeight="true" outlineLevel="0" collapsed="false">
      <c r="A20" s="5" t="n">
        <v>16</v>
      </c>
      <c r="B20" s="5" t="s">
        <v>42</v>
      </c>
      <c r="C20" s="5" t="s">
        <v>962</v>
      </c>
      <c r="D20" s="5" t="s">
        <v>963</v>
      </c>
      <c r="E20" s="5" t="s">
        <v>876</v>
      </c>
      <c r="F20" s="5" t="s">
        <v>964</v>
      </c>
      <c r="G20" s="5" t="s">
        <v>965</v>
      </c>
      <c r="H20" s="5" t="s">
        <v>966</v>
      </c>
      <c r="I20" s="5"/>
      <c r="J20" s="5" t="s">
        <v>967</v>
      </c>
      <c r="K20" s="5" t="s">
        <v>961</v>
      </c>
      <c r="L20" s="5" t="s">
        <v>23</v>
      </c>
    </row>
    <row r="21" customFormat="false" ht="32.25" hidden="false" customHeight="true" outlineLevel="0" collapsed="false">
      <c r="A21" s="5" t="n">
        <v>17</v>
      </c>
      <c r="B21" s="5" t="s">
        <v>42</v>
      </c>
      <c r="C21" s="5" t="s">
        <v>968</v>
      </c>
      <c r="D21" s="5"/>
      <c r="E21" s="5" t="s">
        <v>206</v>
      </c>
      <c r="F21" s="5" t="s">
        <v>969</v>
      </c>
      <c r="G21" s="5" t="s">
        <v>970</v>
      </c>
      <c r="H21" s="5" t="s">
        <v>971</v>
      </c>
      <c r="I21" s="5" t="s">
        <v>54</v>
      </c>
      <c r="J21" s="5" t="s">
        <v>972</v>
      </c>
      <c r="K21" s="5" t="s">
        <v>881</v>
      </c>
      <c r="L21" s="5" t="s">
        <v>23</v>
      </c>
    </row>
    <row r="22" customFormat="false" ht="21.75" hidden="false" customHeight="true" outlineLevel="0" collapsed="false">
      <c r="A22" s="5" t="n">
        <v>18</v>
      </c>
      <c r="B22" s="5" t="s">
        <v>42</v>
      </c>
      <c r="C22" s="5" t="s">
        <v>973</v>
      </c>
      <c r="D22" s="5"/>
      <c r="E22" s="5" t="s">
        <v>876</v>
      </c>
      <c r="F22" s="5" t="s">
        <v>974</v>
      </c>
      <c r="G22" s="5" t="s">
        <v>975</v>
      </c>
      <c r="H22" s="5" t="s">
        <v>976</v>
      </c>
      <c r="I22" s="5"/>
      <c r="J22" s="5" t="s">
        <v>977</v>
      </c>
      <c r="K22" s="5" t="s">
        <v>909</v>
      </c>
      <c r="L22" s="5" t="s">
        <v>23</v>
      </c>
    </row>
    <row r="23" customFormat="false" ht="15" hidden="false" customHeight="true" outlineLevel="0" collapsed="false">
      <c r="A23" s="5" t="n">
        <v>19</v>
      </c>
      <c r="B23" s="5" t="s">
        <v>42</v>
      </c>
      <c r="C23" s="5" t="s">
        <v>978</v>
      </c>
      <c r="D23" s="5"/>
      <c r="E23" s="5" t="s">
        <v>876</v>
      </c>
      <c r="F23" s="5" t="s">
        <v>979</v>
      </c>
      <c r="G23" s="5" t="s">
        <v>980</v>
      </c>
      <c r="H23" s="5" t="s">
        <v>981</v>
      </c>
      <c r="I23" s="5"/>
      <c r="J23" s="5" t="s">
        <v>982</v>
      </c>
      <c r="K23" s="5" t="s">
        <v>881</v>
      </c>
      <c r="L23" s="5" t="s">
        <v>23</v>
      </c>
    </row>
    <row r="24" customFormat="false" ht="21.75" hidden="false" customHeight="true" outlineLevel="0" collapsed="false">
      <c r="A24" s="5" t="n">
        <v>20</v>
      </c>
      <c r="B24" s="5" t="s">
        <v>50</v>
      </c>
      <c r="C24" s="5" t="s">
        <v>983</v>
      </c>
      <c r="D24" s="5" t="s">
        <v>984</v>
      </c>
      <c r="E24" s="5" t="s">
        <v>876</v>
      </c>
      <c r="F24" s="5" t="s">
        <v>985</v>
      </c>
      <c r="G24" s="5" t="s">
        <v>986</v>
      </c>
      <c r="H24" s="5" t="s">
        <v>987</v>
      </c>
      <c r="I24" s="5" t="s">
        <v>54</v>
      </c>
      <c r="J24" s="5"/>
      <c r="K24" s="5" t="s">
        <v>895</v>
      </c>
      <c r="L24" s="5" t="s">
        <v>23</v>
      </c>
    </row>
    <row r="25" customFormat="false" ht="21.75" hidden="false" customHeight="true" outlineLevel="0" collapsed="false">
      <c r="A25" s="5" t="n">
        <v>21</v>
      </c>
      <c r="B25" s="5" t="s">
        <v>50</v>
      </c>
      <c r="C25" s="5" t="s">
        <v>988</v>
      </c>
      <c r="D25" s="5" t="s">
        <v>989</v>
      </c>
      <c r="E25" s="5" t="s">
        <v>990</v>
      </c>
      <c r="F25" s="5" t="s">
        <v>991</v>
      </c>
      <c r="G25" s="5" t="s">
        <v>992</v>
      </c>
      <c r="H25" s="5" t="s">
        <v>993</v>
      </c>
      <c r="I25" s="5"/>
      <c r="J25" s="5" t="s">
        <v>55</v>
      </c>
      <c r="K25" s="5" t="s">
        <v>881</v>
      </c>
      <c r="L25" s="5" t="s">
        <v>23</v>
      </c>
    </row>
    <row r="26" customFormat="false" ht="15" hidden="false" customHeight="true" outlineLevel="0" collapsed="false">
      <c r="A26" s="5" t="n">
        <v>22</v>
      </c>
      <c r="B26" s="5" t="s">
        <v>56</v>
      </c>
      <c r="C26" s="5" t="s">
        <v>994</v>
      </c>
      <c r="D26" s="5" t="s">
        <v>995</v>
      </c>
      <c r="E26" s="5" t="s">
        <v>876</v>
      </c>
      <c r="F26" s="5" t="s">
        <v>996</v>
      </c>
      <c r="G26" s="5" t="s">
        <v>997</v>
      </c>
      <c r="H26" s="5" t="s">
        <v>998</v>
      </c>
      <c r="I26" s="5"/>
      <c r="J26" s="5" t="s">
        <v>999</v>
      </c>
      <c r="K26" s="5" t="s">
        <v>895</v>
      </c>
      <c r="L26" s="5" t="s">
        <v>23</v>
      </c>
    </row>
    <row r="27" customFormat="false" ht="21.75" hidden="false" customHeight="true" outlineLevel="0" collapsed="false">
      <c r="A27" s="5" t="n">
        <v>23</v>
      </c>
      <c r="B27" s="5" t="s">
        <v>56</v>
      </c>
      <c r="C27" s="5" t="s">
        <v>1000</v>
      </c>
      <c r="D27" s="5"/>
      <c r="E27" s="5" t="s">
        <v>876</v>
      </c>
      <c r="F27" s="5" t="s">
        <v>1001</v>
      </c>
      <c r="G27" s="5" t="s">
        <v>1002</v>
      </c>
      <c r="H27" s="5" t="s">
        <v>1003</v>
      </c>
      <c r="I27" s="5"/>
      <c r="J27" s="5" t="s">
        <v>1004</v>
      </c>
      <c r="K27" s="5" t="s">
        <v>881</v>
      </c>
      <c r="L27" s="5" t="s">
        <v>23</v>
      </c>
    </row>
    <row r="28" customFormat="false" ht="21.75" hidden="false" customHeight="true" outlineLevel="0" collapsed="false">
      <c r="A28" s="5" t="n">
        <v>24</v>
      </c>
      <c r="B28" s="5" t="s">
        <v>61</v>
      </c>
      <c r="C28" s="5" t="s">
        <v>1005</v>
      </c>
      <c r="D28" s="5"/>
      <c r="E28" s="5" t="s">
        <v>876</v>
      </c>
      <c r="F28" s="5" t="s">
        <v>1006</v>
      </c>
      <c r="G28" s="5" t="s">
        <v>1007</v>
      </c>
      <c r="H28" s="5" t="s">
        <v>1008</v>
      </c>
      <c r="I28" s="5"/>
      <c r="J28" s="5" t="s">
        <v>66</v>
      </c>
      <c r="K28" s="5" t="s">
        <v>961</v>
      </c>
      <c r="L28" s="5" t="s">
        <v>23</v>
      </c>
    </row>
    <row r="29" customFormat="false" ht="21.75" hidden="false" customHeight="true" outlineLevel="0" collapsed="false">
      <c r="A29" s="5" t="n">
        <v>25</v>
      </c>
      <c r="B29" s="5" t="s">
        <v>61</v>
      </c>
      <c r="C29" s="5" t="s">
        <v>1009</v>
      </c>
      <c r="D29" s="5" t="s">
        <v>1010</v>
      </c>
      <c r="E29" s="5" t="s">
        <v>234</v>
      </c>
      <c r="F29" s="5" t="s">
        <v>1011</v>
      </c>
      <c r="G29" s="5"/>
      <c r="H29" s="5" t="s">
        <v>1012</v>
      </c>
      <c r="I29" s="5"/>
      <c r="J29" s="5" t="s">
        <v>66</v>
      </c>
      <c r="K29" s="5" t="s">
        <v>961</v>
      </c>
      <c r="L29" s="5" t="s">
        <v>23</v>
      </c>
    </row>
    <row r="30" customFormat="false" ht="15" hidden="false" customHeight="true" outlineLevel="0" collapsed="false">
      <c r="A30" s="5" t="n">
        <v>26</v>
      </c>
      <c r="B30" s="5" t="s">
        <v>67</v>
      </c>
      <c r="C30" s="5" t="s">
        <v>1013</v>
      </c>
      <c r="D30" s="5" t="s">
        <v>1014</v>
      </c>
      <c r="E30" s="5" t="s">
        <v>1015</v>
      </c>
      <c r="F30" s="5" t="s">
        <v>1016</v>
      </c>
      <c r="G30" s="5"/>
      <c r="H30" s="5" t="s">
        <v>1017</v>
      </c>
      <c r="I30" s="5" t="s">
        <v>72</v>
      </c>
      <c r="J30" s="5" t="s">
        <v>1018</v>
      </c>
      <c r="K30" s="5" t="s">
        <v>881</v>
      </c>
      <c r="L30" s="5" t="s">
        <v>23</v>
      </c>
    </row>
    <row r="31" customFormat="false" ht="21.75" hidden="false" customHeight="true" outlineLevel="0" collapsed="false">
      <c r="A31" s="5" t="n">
        <v>27</v>
      </c>
      <c r="B31" s="5" t="s">
        <v>67</v>
      </c>
      <c r="C31" s="5" t="s">
        <v>1019</v>
      </c>
      <c r="D31" s="5" t="s">
        <v>1020</v>
      </c>
      <c r="E31" s="5" t="s">
        <v>876</v>
      </c>
      <c r="F31" s="5" t="s">
        <v>1021</v>
      </c>
      <c r="G31" s="5" t="s">
        <v>1022</v>
      </c>
      <c r="H31" s="5" t="s">
        <v>1023</v>
      </c>
      <c r="I31" s="5" t="s">
        <v>72</v>
      </c>
      <c r="J31" s="5" t="s">
        <v>1018</v>
      </c>
      <c r="K31" s="5" t="s">
        <v>881</v>
      </c>
      <c r="L31" s="5" t="s">
        <v>23</v>
      </c>
    </row>
    <row r="32" customFormat="false" ht="15" hidden="false" customHeight="true" outlineLevel="0" collapsed="false">
      <c r="A32" s="5" t="n">
        <v>28</v>
      </c>
      <c r="B32" s="5" t="s">
        <v>67</v>
      </c>
      <c r="C32" s="5" t="s">
        <v>1024</v>
      </c>
      <c r="D32" s="5"/>
      <c r="E32" s="5" t="s">
        <v>1025</v>
      </c>
      <c r="F32" s="5" t="s">
        <v>1026</v>
      </c>
      <c r="G32" s="5"/>
      <c r="H32" s="5" t="s">
        <v>1027</v>
      </c>
      <c r="I32" s="5"/>
      <c r="J32" s="5" t="s">
        <v>1018</v>
      </c>
      <c r="K32" s="5" t="s">
        <v>881</v>
      </c>
      <c r="L32" s="5" t="s">
        <v>23</v>
      </c>
    </row>
    <row r="33" customFormat="false" ht="42.75" hidden="false" customHeight="true" outlineLevel="0" collapsed="false">
      <c r="A33" s="5" t="n">
        <v>29</v>
      </c>
      <c r="B33" s="5" t="s">
        <v>74</v>
      </c>
      <c r="C33" s="5" t="s">
        <v>1028</v>
      </c>
      <c r="D33" s="5" t="s">
        <v>1029</v>
      </c>
      <c r="E33" s="5" t="s">
        <v>74</v>
      </c>
      <c r="F33" s="5" t="s">
        <v>1030</v>
      </c>
      <c r="G33" s="5" t="s">
        <v>1031</v>
      </c>
      <c r="H33" s="5" t="s">
        <v>1032</v>
      </c>
      <c r="I33" s="5" t="s">
        <v>1033</v>
      </c>
      <c r="J33" s="5" t="s">
        <v>1034</v>
      </c>
      <c r="K33" s="5" t="s">
        <v>881</v>
      </c>
      <c r="L33" s="5" t="s">
        <v>23</v>
      </c>
    </row>
    <row r="34" customFormat="false" ht="21.75" hidden="false" customHeight="true" outlineLevel="0" collapsed="false">
      <c r="A34" s="5" t="n">
        <v>30</v>
      </c>
      <c r="B34" s="5" t="s">
        <v>74</v>
      </c>
      <c r="C34" s="5" t="s">
        <v>1035</v>
      </c>
      <c r="D34" s="5"/>
      <c r="E34" s="5" t="s">
        <v>1036</v>
      </c>
      <c r="F34" s="5" t="s">
        <v>1037</v>
      </c>
      <c r="G34" s="5" t="s">
        <v>1038</v>
      </c>
      <c r="H34" s="5" t="s">
        <v>1039</v>
      </c>
      <c r="I34" s="5"/>
      <c r="J34" s="5" t="s">
        <v>1040</v>
      </c>
      <c r="K34" s="5" t="s">
        <v>881</v>
      </c>
      <c r="L34" s="5" t="s">
        <v>23</v>
      </c>
    </row>
    <row r="35" customFormat="false" ht="21.75" hidden="false" customHeight="true" outlineLevel="0" collapsed="false">
      <c r="A35" s="5" t="n">
        <v>31</v>
      </c>
      <c r="B35" s="5" t="s">
        <v>74</v>
      </c>
      <c r="C35" s="5" t="s">
        <v>1041</v>
      </c>
      <c r="D35" s="5"/>
      <c r="E35" s="5" t="s">
        <v>301</v>
      </c>
      <c r="F35" s="5" t="s">
        <v>1042</v>
      </c>
      <c r="G35" s="5"/>
      <c r="H35" s="5" t="s">
        <v>1043</v>
      </c>
      <c r="I35" s="5" t="s">
        <v>1044</v>
      </c>
      <c r="J35" s="5" t="s">
        <v>1034</v>
      </c>
      <c r="K35" s="5" t="s">
        <v>895</v>
      </c>
      <c r="L35" s="5" t="s">
        <v>23</v>
      </c>
    </row>
    <row r="36" customFormat="false" ht="32.25" hidden="false" customHeight="true" outlineLevel="0" collapsed="false">
      <c r="A36" s="5" t="n">
        <v>32</v>
      </c>
      <c r="B36" s="5" t="s">
        <v>74</v>
      </c>
      <c r="C36" s="5" t="s">
        <v>1045</v>
      </c>
      <c r="D36" s="5"/>
      <c r="E36" s="5" t="s">
        <v>110</v>
      </c>
      <c r="F36" s="5" t="s">
        <v>1046</v>
      </c>
      <c r="G36" s="5" t="s">
        <v>1047</v>
      </c>
      <c r="H36" s="5" t="s">
        <v>1048</v>
      </c>
      <c r="I36" s="5"/>
      <c r="J36" s="5" t="s">
        <v>1049</v>
      </c>
      <c r="K36" s="5" t="s">
        <v>895</v>
      </c>
      <c r="L36" s="5" t="s">
        <v>23</v>
      </c>
    </row>
    <row r="37" customFormat="false" ht="42.75" hidden="false" customHeight="true" outlineLevel="0" collapsed="false">
      <c r="A37" s="5" t="n">
        <v>33</v>
      </c>
      <c r="B37" s="5" t="s">
        <v>74</v>
      </c>
      <c r="C37" s="5" t="s">
        <v>1050</v>
      </c>
      <c r="D37" s="5" t="s">
        <v>1051</v>
      </c>
      <c r="E37" s="5" t="s">
        <v>876</v>
      </c>
      <c r="F37" s="5" t="s">
        <v>1052</v>
      </c>
      <c r="G37" s="5" t="s">
        <v>1053</v>
      </c>
      <c r="H37" s="5" t="s">
        <v>1054</v>
      </c>
      <c r="I37" s="5" t="s">
        <v>1055</v>
      </c>
      <c r="J37" s="5" t="s">
        <v>1056</v>
      </c>
      <c r="K37" s="5" t="s">
        <v>881</v>
      </c>
      <c r="L37" s="5" t="s">
        <v>419</v>
      </c>
    </row>
    <row r="38" customFormat="false" ht="21.75" hidden="false" customHeight="true" outlineLevel="0" collapsed="false">
      <c r="A38" s="5" t="n">
        <v>34</v>
      </c>
      <c r="B38" s="5" t="s">
        <v>74</v>
      </c>
      <c r="C38" s="5" t="s">
        <v>1057</v>
      </c>
      <c r="D38" s="5" t="s">
        <v>1058</v>
      </c>
      <c r="E38" s="5" t="s">
        <v>876</v>
      </c>
      <c r="F38" s="5" t="s">
        <v>1059</v>
      </c>
      <c r="G38" s="5" t="s">
        <v>1060</v>
      </c>
      <c r="H38" s="5" t="s">
        <v>1061</v>
      </c>
      <c r="I38" s="5" t="s">
        <v>85</v>
      </c>
      <c r="J38" s="5" t="s">
        <v>86</v>
      </c>
      <c r="K38" s="5" t="s">
        <v>881</v>
      </c>
      <c r="L38" s="5" t="s">
        <v>23</v>
      </c>
    </row>
    <row r="39" customFormat="false" ht="15" hidden="false" customHeight="true" outlineLevel="0" collapsed="false">
      <c r="A39" s="5" t="n">
        <v>35</v>
      </c>
      <c r="B39" s="5" t="s">
        <v>74</v>
      </c>
      <c r="C39" s="5" t="s">
        <v>1062</v>
      </c>
      <c r="D39" s="5"/>
      <c r="E39" s="5" t="s">
        <v>234</v>
      </c>
      <c r="F39" s="5" t="s">
        <v>1063</v>
      </c>
      <c r="G39" s="5"/>
      <c r="H39" s="5" t="s">
        <v>1064</v>
      </c>
      <c r="I39" s="5" t="s">
        <v>85</v>
      </c>
      <c r="J39" s="5"/>
      <c r="K39" s="5" t="s">
        <v>895</v>
      </c>
      <c r="L39" s="5" t="s">
        <v>23</v>
      </c>
    </row>
    <row r="40" customFormat="false" ht="32.25" hidden="false" customHeight="true" outlineLevel="0" collapsed="false">
      <c r="A40" s="5" t="n">
        <v>36</v>
      </c>
      <c r="B40" s="5" t="s">
        <v>74</v>
      </c>
      <c r="C40" s="5" t="s">
        <v>1065</v>
      </c>
      <c r="D40" s="5" t="s">
        <v>1066</v>
      </c>
      <c r="E40" s="5" t="s">
        <v>876</v>
      </c>
      <c r="F40" s="5" t="s">
        <v>1067</v>
      </c>
      <c r="G40" s="5" t="s">
        <v>1068</v>
      </c>
      <c r="H40" s="5" t="s">
        <v>1069</v>
      </c>
      <c r="I40" s="5" t="s">
        <v>1044</v>
      </c>
      <c r="J40" s="5" t="s">
        <v>102</v>
      </c>
      <c r="K40" s="5" t="s">
        <v>881</v>
      </c>
      <c r="L40" s="5" t="s">
        <v>23</v>
      </c>
    </row>
    <row r="41" customFormat="false" ht="21.75" hidden="false" customHeight="true" outlineLevel="0" collapsed="false">
      <c r="A41" s="5" t="n">
        <v>37</v>
      </c>
      <c r="B41" s="5" t="s">
        <v>74</v>
      </c>
      <c r="C41" s="5" t="s">
        <v>1070</v>
      </c>
      <c r="D41" s="5" t="s">
        <v>1071</v>
      </c>
      <c r="E41" s="5" t="s">
        <v>876</v>
      </c>
      <c r="F41" s="5" t="s">
        <v>1072</v>
      </c>
      <c r="G41" s="5" t="s">
        <v>1073</v>
      </c>
      <c r="H41" s="5" t="s">
        <v>1074</v>
      </c>
      <c r="I41" s="5"/>
      <c r="J41" s="5" t="s">
        <v>102</v>
      </c>
      <c r="K41" s="5" t="s">
        <v>881</v>
      </c>
      <c r="L41" s="5" t="s">
        <v>23</v>
      </c>
    </row>
    <row r="42" customFormat="false" ht="32.25" hidden="false" customHeight="true" outlineLevel="0" collapsed="false">
      <c r="A42" s="5" t="n">
        <v>38</v>
      </c>
      <c r="B42" s="5" t="s">
        <v>74</v>
      </c>
      <c r="C42" s="5" t="s">
        <v>1075</v>
      </c>
      <c r="D42" s="5" t="s">
        <v>1076</v>
      </c>
      <c r="E42" s="5" t="s">
        <v>876</v>
      </c>
      <c r="F42" s="5" t="s">
        <v>1077</v>
      </c>
      <c r="G42" s="5" t="s">
        <v>1078</v>
      </c>
      <c r="H42" s="5" t="s">
        <v>1079</v>
      </c>
      <c r="I42" s="5" t="s">
        <v>525</v>
      </c>
      <c r="J42" s="5" t="s">
        <v>1080</v>
      </c>
      <c r="K42" s="5" t="s">
        <v>1081</v>
      </c>
      <c r="L42" s="5" t="s">
        <v>23</v>
      </c>
    </row>
    <row r="43" customFormat="false" ht="32.25" hidden="false" customHeight="true" outlineLevel="0" collapsed="false">
      <c r="A43" s="7" t="n">
        <v>39</v>
      </c>
      <c r="B43" s="7" t="s">
        <v>74</v>
      </c>
      <c r="C43" s="7" t="s">
        <v>1082</v>
      </c>
      <c r="D43" s="7"/>
      <c r="E43" s="7" t="s">
        <v>876</v>
      </c>
      <c r="F43" s="7" t="s">
        <v>1083</v>
      </c>
      <c r="G43" s="7" t="s">
        <v>1084</v>
      </c>
      <c r="H43" s="7" t="s">
        <v>1085</v>
      </c>
      <c r="I43" s="7"/>
      <c r="J43" s="7" t="s">
        <v>1086</v>
      </c>
      <c r="K43" s="7" t="s">
        <v>881</v>
      </c>
      <c r="L43" s="7" t="s">
        <v>507</v>
      </c>
    </row>
    <row r="44" customFormat="false" ht="42.75" hidden="false" customHeight="true" outlineLevel="0" collapsed="false">
      <c r="A44" s="5" t="n">
        <v>40</v>
      </c>
      <c r="B44" s="5" t="s">
        <v>74</v>
      </c>
      <c r="C44" s="5" t="s">
        <v>1087</v>
      </c>
      <c r="D44" s="5" t="s">
        <v>1088</v>
      </c>
      <c r="E44" s="5" t="s">
        <v>294</v>
      </c>
      <c r="F44" s="5" t="s">
        <v>1089</v>
      </c>
      <c r="G44" s="5" t="s">
        <v>1090</v>
      </c>
      <c r="H44" s="5" t="s">
        <v>1091</v>
      </c>
      <c r="I44" s="5" t="s">
        <v>1092</v>
      </c>
      <c r="J44" s="5" t="s">
        <v>1093</v>
      </c>
      <c r="K44" s="5" t="s">
        <v>895</v>
      </c>
      <c r="L44" s="5" t="s">
        <v>23</v>
      </c>
    </row>
    <row r="45" customFormat="false" ht="32.25" hidden="false" customHeight="true" outlineLevel="0" collapsed="false">
      <c r="A45" s="5" t="n">
        <v>41</v>
      </c>
      <c r="B45" s="5" t="s">
        <v>74</v>
      </c>
      <c r="C45" s="5" t="s">
        <v>1094</v>
      </c>
      <c r="D45" s="5"/>
      <c r="E45" s="5" t="s">
        <v>876</v>
      </c>
      <c r="F45" s="5" t="s">
        <v>1095</v>
      </c>
      <c r="G45" s="5" t="s">
        <v>1096</v>
      </c>
      <c r="H45" s="5" t="s">
        <v>1097</v>
      </c>
      <c r="I45" s="5" t="s">
        <v>908</v>
      </c>
      <c r="J45" s="5" t="s">
        <v>1098</v>
      </c>
      <c r="K45" s="5" t="s">
        <v>881</v>
      </c>
      <c r="L45" s="5" t="s">
        <v>419</v>
      </c>
    </row>
    <row r="46" customFormat="false" ht="32.25" hidden="false" customHeight="true" outlineLevel="0" collapsed="false">
      <c r="A46" s="5" t="n">
        <v>42</v>
      </c>
      <c r="B46" s="5" t="s">
        <v>74</v>
      </c>
      <c r="C46" s="5" t="s">
        <v>1099</v>
      </c>
      <c r="D46" s="5"/>
      <c r="E46" s="5" t="s">
        <v>1100</v>
      </c>
      <c r="F46" s="5" t="s">
        <v>1101</v>
      </c>
      <c r="G46" s="5" t="s">
        <v>1102</v>
      </c>
      <c r="H46" s="5" t="s">
        <v>1103</v>
      </c>
      <c r="I46" s="5" t="s">
        <v>54</v>
      </c>
      <c r="J46" s="5" t="s">
        <v>1104</v>
      </c>
      <c r="K46" s="5" t="s">
        <v>881</v>
      </c>
      <c r="L46" s="5" t="s">
        <v>23</v>
      </c>
    </row>
    <row r="47" customFormat="false" ht="15" hidden="false" customHeight="true" outlineLevel="0" collapsed="false">
      <c r="A47" s="5" t="n">
        <v>43</v>
      </c>
      <c r="B47" s="5" t="s">
        <v>81</v>
      </c>
      <c r="C47" s="5" t="s">
        <v>874</v>
      </c>
      <c r="D47" s="5" t="s">
        <v>1105</v>
      </c>
      <c r="E47" s="5" t="s">
        <v>876</v>
      </c>
      <c r="F47" s="5" t="s">
        <v>1106</v>
      </c>
      <c r="G47" s="5"/>
      <c r="H47" s="5" t="s">
        <v>1107</v>
      </c>
      <c r="I47" s="5"/>
      <c r="J47" s="5" t="s">
        <v>86</v>
      </c>
      <c r="K47" s="5" t="s">
        <v>881</v>
      </c>
      <c r="L47" s="5" t="s">
        <v>23</v>
      </c>
    </row>
    <row r="48" customFormat="false" ht="15" hidden="false" customHeight="true" outlineLevel="0" collapsed="false">
      <c r="A48" s="5" t="n">
        <v>44</v>
      </c>
      <c r="B48" s="5" t="s">
        <v>81</v>
      </c>
      <c r="C48" s="5" t="s">
        <v>1108</v>
      </c>
      <c r="D48" s="5" t="s">
        <v>1109</v>
      </c>
      <c r="E48" s="5" t="s">
        <v>876</v>
      </c>
      <c r="F48" s="5" t="s">
        <v>1110</v>
      </c>
      <c r="G48" s="5" t="s">
        <v>1111</v>
      </c>
      <c r="H48" s="5" t="s">
        <v>1112</v>
      </c>
      <c r="I48" s="5"/>
      <c r="J48" s="5" t="s">
        <v>86</v>
      </c>
      <c r="K48" s="5" t="s">
        <v>881</v>
      </c>
      <c r="L48" s="5" t="s">
        <v>23</v>
      </c>
    </row>
    <row r="49" customFormat="false" ht="21.75" hidden="false" customHeight="true" outlineLevel="0" collapsed="false">
      <c r="A49" s="5" t="n">
        <v>45</v>
      </c>
      <c r="B49" s="5" t="s">
        <v>87</v>
      </c>
      <c r="C49" s="5" t="s">
        <v>1113</v>
      </c>
      <c r="D49" s="5" t="s">
        <v>1114</v>
      </c>
      <c r="E49" s="5" t="s">
        <v>294</v>
      </c>
      <c r="F49" s="5" t="s">
        <v>1115</v>
      </c>
      <c r="G49" s="5" t="s">
        <v>1116</v>
      </c>
      <c r="H49" s="5" t="s">
        <v>1117</v>
      </c>
      <c r="I49" s="5"/>
      <c r="J49" s="5" t="s">
        <v>941</v>
      </c>
      <c r="K49" s="5" t="s">
        <v>895</v>
      </c>
      <c r="L49" s="5" t="s">
        <v>23</v>
      </c>
    </row>
    <row r="50" customFormat="false" ht="15" hidden="false" customHeight="true" outlineLevel="0" collapsed="false">
      <c r="A50" s="5" t="n">
        <v>46</v>
      </c>
      <c r="B50" s="5" t="s">
        <v>92</v>
      </c>
      <c r="C50" s="5" t="s">
        <v>1118</v>
      </c>
      <c r="D50" s="5" t="s">
        <v>1119</v>
      </c>
      <c r="E50" s="5" t="s">
        <v>876</v>
      </c>
      <c r="F50" s="5" t="s">
        <v>1120</v>
      </c>
      <c r="G50" s="5"/>
      <c r="H50" s="5" t="s">
        <v>1121</v>
      </c>
      <c r="I50" s="5" t="s">
        <v>96</v>
      </c>
      <c r="J50" s="5" t="s">
        <v>1122</v>
      </c>
      <c r="K50" s="5" t="s">
        <v>881</v>
      </c>
      <c r="L50" s="5" t="s">
        <v>23</v>
      </c>
    </row>
    <row r="51" customFormat="false" ht="21.75" hidden="false" customHeight="true" outlineLevel="0" collapsed="false">
      <c r="A51" s="5" t="n">
        <v>47</v>
      </c>
      <c r="B51" s="5" t="s">
        <v>92</v>
      </c>
      <c r="C51" s="5" t="s">
        <v>1123</v>
      </c>
      <c r="D51" s="5"/>
      <c r="E51" s="5" t="s">
        <v>206</v>
      </c>
      <c r="F51" s="5" t="s">
        <v>1124</v>
      </c>
      <c r="G51" s="5" t="s">
        <v>1125</v>
      </c>
      <c r="H51" s="5" t="s">
        <v>1126</v>
      </c>
      <c r="I51" s="5"/>
      <c r="J51" s="5" t="s">
        <v>1086</v>
      </c>
      <c r="K51" s="5" t="s">
        <v>895</v>
      </c>
      <c r="L51" s="5" t="s">
        <v>23</v>
      </c>
    </row>
    <row r="52" customFormat="false" ht="21.75" hidden="false" customHeight="true" outlineLevel="0" collapsed="false">
      <c r="A52" s="5" t="n">
        <v>48</v>
      </c>
      <c r="B52" s="5" t="s">
        <v>92</v>
      </c>
      <c r="C52" s="5" t="s">
        <v>1127</v>
      </c>
      <c r="D52" s="5"/>
      <c r="E52" s="5" t="s">
        <v>294</v>
      </c>
      <c r="F52" s="5" t="s">
        <v>1128</v>
      </c>
      <c r="G52" s="5" t="s">
        <v>1125</v>
      </c>
      <c r="H52" s="5" t="s">
        <v>1129</v>
      </c>
      <c r="I52" s="5"/>
      <c r="J52" s="5" t="s">
        <v>147</v>
      </c>
      <c r="K52" s="5" t="s">
        <v>895</v>
      </c>
      <c r="L52" s="5" t="s">
        <v>23</v>
      </c>
    </row>
    <row r="53" customFormat="false" ht="21.75" hidden="false" customHeight="true" outlineLevel="0" collapsed="false">
      <c r="A53" s="5" t="n">
        <v>49</v>
      </c>
      <c r="B53" s="5" t="s">
        <v>98</v>
      </c>
      <c r="C53" s="5" t="s">
        <v>983</v>
      </c>
      <c r="D53" s="5" t="s">
        <v>1130</v>
      </c>
      <c r="E53" s="5" t="s">
        <v>876</v>
      </c>
      <c r="F53" s="5" t="s">
        <v>1131</v>
      </c>
      <c r="G53" s="5"/>
      <c r="H53" s="5" t="s">
        <v>1132</v>
      </c>
      <c r="I53" s="5"/>
      <c r="J53" s="5" t="s">
        <v>102</v>
      </c>
      <c r="K53" s="5" t="s">
        <v>895</v>
      </c>
      <c r="L53" s="5" t="s">
        <v>23</v>
      </c>
    </row>
    <row r="54" customFormat="false" ht="21.75" hidden="false" customHeight="true" outlineLevel="0" collapsed="false">
      <c r="A54" s="5" t="n">
        <v>50</v>
      </c>
      <c r="B54" s="5" t="s">
        <v>103</v>
      </c>
      <c r="C54" s="5" t="s">
        <v>1133</v>
      </c>
      <c r="D54" s="5" t="s">
        <v>1134</v>
      </c>
      <c r="E54" s="5" t="s">
        <v>876</v>
      </c>
      <c r="F54" s="5" t="s">
        <v>1135</v>
      </c>
      <c r="G54" s="5" t="s">
        <v>1136</v>
      </c>
      <c r="H54" s="5" t="s">
        <v>1137</v>
      </c>
      <c r="I54" s="5"/>
      <c r="J54" s="5" t="s">
        <v>1138</v>
      </c>
      <c r="K54" s="5" t="s">
        <v>881</v>
      </c>
      <c r="L54" s="5" t="s">
        <v>23</v>
      </c>
    </row>
    <row r="55" customFormat="false" ht="15" hidden="false" customHeight="true" outlineLevel="0" collapsed="false">
      <c r="A55" s="5" t="n">
        <v>51</v>
      </c>
      <c r="B55" s="5" t="s">
        <v>103</v>
      </c>
      <c r="C55" s="5" t="s">
        <v>1139</v>
      </c>
      <c r="D55" s="5"/>
      <c r="E55" s="5" t="s">
        <v>301</v>
      </c>
      <c r="F55" s="5" t="s">
        <v>1140</v>
      </c>
      <c r="G55" s="5"/>
      <c r="H55" s="5" t="s">
        <v>1141</v>
      </c>
      <c r="I55" s="5"/>
      <c r="J55" s="5" t="s">
        <v>1142</v>
      </c>
      <c r="K55" s="5" t="s">
        <v>895</v>
      </c>
      <c r="L55" s="5" t="s">
        <v>23</v>
      </c>
    </row>
    <row r="56" customFormat="false" ht="15" hidden="false" customHeight="true" outlineLevel="0" collapsed="false">
      <c r="A56" s="5" t="n">
        <v>52</v>
      </c>
      <c r="B56" s="5" t="s">
        <v>103</v>
      </c>
      <c r="C56" s="5" t="s">
        <v>1143</v>
      </c>
      <c r="D56" s="5"/>
      <c r="E56" s="5" t="s">
        <v>234</v>
      </c>
      <c r="F56" s="5" t="s">
        <v>1144</v>
      </c>
      <c r="G56" s="5"/>
      <c r="H56" s="5" t="s">
        <v>1145</v>
      </c>
      <c r="I56" s="5"/>
      <c r="J56" s="5" t="s">
        <v>941</v>
      </c>
      <c r="K56" s="5" t="s">
        <v>895</v>
      </c>
      <c r="L56" s="5" t="s">
        <v>23</v>
      </c>
    </row>
    <row r="57" customFormat="false" ht="21.75" hidden="false" customHeight="true" outlineLevel="0" collapsed="false">
      <c r="A57" s="5" t="n">
        <v>53</v>
      </c>
      <c r="B57" s="5" t="s">
        <v>110</v>
      </c>
      <c r="C57" s="5" t="s">
        <v>1146</v>
      </c>
      <c r="D57" s="5" t="s">
        <v>1147</v>
      </c>
      <c r="E57" s="5" t="s">
        <v>876</v>
      </c>
      <c r="F57" s="5" t="s">
        <v>1148</v>
      </c>
      <c r="G57" s="5" t="s">
        <v>1149</v>
      </c>
      <c r="H57" s="5" t="s">
        <v>1150</v>
      </c>
      <c r="I57" s="5" t="s">
        <v>1151</v>
      </c>
      <c r="J57" s="5" t="s">
        <v>1152</v>
      </c>
      <c r="K57" s="5" t="s">
        <v>909</v>
      </c>
      <c r="L57" s="5" t="s">
        <v>419</v>
      </c>
    </row>
    <row r="58" customFormat="false" ht="32.25" hidden="false" customHeight="true" outlineLevel="0" collapsed="false">
      <c r="A58" s="5" t="n">
        <v>54</v>
      </c>
      <c r="B58" s="5" t="s">
        <v>110</v>
      </c>
      <c r="C58" s="5" t="s">
        <v>1153</v>
      </c>
      <c r="D58" s="5"/>
      <c r="E58" s="5" t="s">
        <v>294</v>
      </c>
      <c r="F58" s="5" t="s">
        <v>1154</v>
      </c>
      <c r="G58" s="5"/>
      <c r="H58" s="5" t="s">
        <v>1155</v>
      </c>
      <c r="I58" s="5" t="s">
        <v>120</v>
      </c>
      <c r="J58" s="5" t="s">
        <v>941</v>
      </c>
      <c r="K58" s="5" t="s">
        <v>895</v>
      </c>
      <c r="L58" s="5" t="s">
        <v>23</v>
      </c>
    </row>
    <row r="59" customFormat="false" ht="32.25" hidden="false" customHeight="true" outlineLevel="0" collapsed="false">
      <c r="A59" s="5" t="n">
        <v>55</v>
      </c>
      <c r="B59" s="5" t="s">
        <v>110</v>
      </c>
      <c r="C59" s="5" t="s">
        <v>1156</v>
      </c>
      <c r="D59" s="5"/>
      <c r="E59" s="5" t="s">
        <v>876</v>
      </c>
      <c r="F59" s="5" t="s">
        <v>1157</v>
      </c>
      <c r="G59" s="5" t="s">
        <v>1158</v>
      </c>
      <c r="H59" s="5" t="s">
        <v>1159</v>
      </c>
      <c r="I59" s="5" t="s">
        <v>1160</v>
      </c>
      <c r="J59" s="5" t="s">
        <v>1161</v>
      </c>
      <c r="K59" s="5" t="s">
        <v>909</v>
      </c>
      <c r="L59" s="5" t="s">
        <v>419</v>
      </c>
    </row>
    <row r="60" customFormat="false" ht="42.75" hidden="false" customHeight="true" outlineLevel="0" collapsed="false">
      <c r="A60" s="5" t="n">
        <v>56</v>
      </c>
      <c r="B60" s="5" t="s">
        <v>110</v>
      </c>
      <c r="C60" s="5" t="s">
        <v>1162</v>
      </c>
      <c r="D60" s="5" t="s">
        <v>1163</v>
      </c>
      <c r="E60" s="5" t="s">
        <v>876</v>
      </c>
      <c r="F60" s="5" t="s">
        <v>1164</v>
      </c>
      <c r="G60" s="5" t="s">
        <v>1165</v>
      </c>
      <c r="H60" s="5" t="s">
        <v>1166</v>
      </c>
      <c r="I60" s="5" t="s">
        <v>1167</v>
      </c>
      <c r="J60" s="5" t="s">
        <v>1168</v>
      </c>
      <c r="K60" s="5" t="s">
        <v>881</v>
      </c>
      <c r="L60" s="5" t="s">
        <v>23</v>
      </c>
    </row>
    <row r="61" customFormat="false" ht="32.25" hidden="false" customHeight="true" outlineLevel="0" collapsed="false">
      <c r="A61" s="5" t="n">
        <v>57</v>
      </c>
      <c r="B61" s="5" t="s">
        <v>110</v>
      </c>
      <c r="C61" s="5" t="s">
        <v>1169</v>
      </c>
      <c r="D61" s="5"/>
      <c r="E61" s="5" t="s">
        <v>876</v>
      </c>
      <c r="F61" s="5" t="s">
        <v>1170</v>
      </c>
      <c r="G61" s="5"/>
      <c r="H61" s="5" t="s">
        <v>1171</v>
      </c>
      <c r="I61" s="5" t="s">
        <v>1172</v>
      </c>
      <c r="J61" s="5" t="s">
        <v>1173</v>
      </c>
      <c r="K61" s="5" t="s">
        <v>895</v>
      </c>
      <c r="L61" s="5" t="s">
        <v>23</v>
      </c>
    </row>
    <row r="62" customFormat="false" ht="21.75" hidden="false" customHeight="true" outlineLevel="0" collapsed="false">
      <c r="A62" s="5" t="n">
        <v>58</v>
      </c>
      <c r="B62" s="5" t="s">
        <v>110</v>
      </c>
      <c r="C62" s="5" t="s">
        <v>889</v>
      </c>
      <c r="D62" s="5"/>
      <c r="E62" s="5" t="s">
        <v>206</v>
      </c>
      <c r="F62" s="5" t="s">
        <v>1174</v>
      </c>
      <c r="G62" s="5" t="s">
        <v>1175</v>
      </c>
      <c r="H62" s="5" t="s">
        <v>1176</v>
      </c>
      <c r="I62" s="5"/>
      <c r="J62" s="5" t="s">
        <v>894</v>
      </c>
      <c r="K62" s="5" t="s">
        <v>895</v>
      </c>
      <c r="L62" s="5" t="s">
        <v>23</v>
      </c>
    </row>
    <row r="63" customFormat="false" ht="32.25" hidden="false" customHeight="true" outlineLevel="0" collapsed="false">
      <c r="A63" s="5" t="n">
        <v>59</v>
      </c>
      <c r="B63" s="5" t="s">
        <v>110</v>
      </c>
      <c r="C63" s="5" t="s">
        <v>1177</v>
      </c>
      <c r="D63" s="5" t="s">
        <v>1178</v>
      </c>
      <c r="E63" s="5" t="s">
        <v>129</v>
      </c>
      <c r="F63" s="5" t="s">
        <v>1179</v>
      </c>
      <c r="G63" s="5" t="s">
        <v>1180</v>
      </c>
      <c r="H63" s="5" t="s">
        <v>1181</v>
      </c>
      <c r="I63" s="5" t="s">
        <v>1182</v>
      </c>
      <c r="J63" s="5" t="s">
        <v>1183</v>
      </c>
      <c r="K63" s="5" t="s">
        <v>881</v>
      </c>
      <c r="L63" s="5" t="s">
        <v>419</v>
      </c>
    </row>
    <row r="64" customFormat="false" ht="21.75" hidden="false" customHeight="true" outlineLevel="0" collapsed="false">
      <c r="A64" s="5" t="n">
        <v>60</v>
      </c>
      <c r="B64" s="5" t="s">
        <v>110</v>
      </c>
      <c r="C64" s="5" t="s">
        <v>1184</v>
      </c>
      <c r="D64" s="5" t="s">
        <v>1185</v>
      </c>
      <c r="E64" s="5" t="s">
        <v>876</v>
      </c>
      <c r="F64" s="5" t="s">
        <v>1186</v>
      </c>
      <c r="G64" s="5" t="s">
        <v>1187</v>
      </c>
      <c r="H64" s="5" t="s">
        <v>1188</v>
      </c>
      <c r="I64" s="5"/>
      <c r="J64" s="5" t="s">
        <v>1189</v>
      </c>
      <c r="K64" s="5" t="s">
        <v>895</v>
      </c>
      <c r="L64" s="5" t="s">
        <v>23</v>
      </c>
    </row>
    <row r="65" customFormat="false" ht="21.75" hidden="false" customHeight="true" outlineLevel="0" collapsed="false">
      <c r="A65" s="5" t="n">
        <v>61</v>
      </c>
      <c r="B65" s="5" t="s">
        <v>116</v>
      </c>
      <c r="C65" s="5" t="s">
        <v>1190</v>
      </c>
      <c r="D65" s="5"/>
      <c r="E65" s="5" t="s">
        <v>294</v>
      </c>
      <c r="F65" s="5" t="s">
        <v>1191</v>
      </c>
      <c r="G65" s="5"/>
      <c r="H65" s="5" t="s">
        <v>1192</v>
      </c>
      <c r="I65" s="5" t="s">
        <v>120</v>
      </c>
      <c r="J65" s="5" t="s">
        <v>941</v>
      </c>
      <c r="K65" s="5" t="s">
        <v>895</v>
      </c>
      <c r="L65" s="5" t="s">
        <v>23</v>
      </c>
    </row>
    <row r="66" customFormat="false" ht="42.75" hidden="false" customHeight="true" outlineLevel="0" collapsed="false">
      <c r="A66" s="5" t="n">
        <v>62</v>
      </c>
      <c r="B66" s="5" t="s">
        <v>122</v>
      </c>
      <c r="C66" s="5" t="s">
        <v>1193</v>
      </c>
      <c r="D66" s="5" t="s">
        <v>1194</v>
      </c>
      <c r="E66" s="5" t="s">
        <v>876</v>
      </c>
      <c r="F66" s="5" t="s">
        <v>1195</v>
      </c>
      <c r="G66" s="5" t="s">
        <v>1196</v>
      </c>
      <c r="H66" s="5" t="s">
        <v>1197</v>
      </c>
      <c r="I66" s="5"/>
      <c r="J66" s="5" t="s">
        <v>1198</v>
      </c>
      <c r="K66" s="5" t="s">
        <v>68</v>
      </c>
      <c r="L66" s="5" t="s">
        <v>23</v>
      </c>
    </row>
    <row r="67" customFormat="false" ht="32.25" hidden="false" customHeight="true" outlineLevel="0" collapsed="false">
      <c r="A67" s="5" t="n">
        <v>63</v>
      </c>
      <c r="B67" s="5" t="s">
        <v>122</v>
      </c>
      <c r="C67" s="5" t="s">
        <v>1199</v>
      </c>
      <c r="D67" s="5" t="s">
        <v>1200</v>
      </c>
      <c r="E67" s="5" t="s">
        <v>129</v>
      </c>
      <c r="F67" s="5" t="s">
        <v>1201</v>
      </c>
      <c r="G67" s="5" t="s">
        <v>1202</v>
      </c>
      <c r="H67" s="5" t="s">
        <v>1203</v>
      </c>
      <c r="I67" s="5" t="s">
        <v>1182</v>
      </c>
      <c r="J67" s="5" t="s">
        <v>1204</v>
      </c>
      <c r="K67" s="5" t="s">
        <v>881</v>
      </c>
      <c r="L67" s="5" t="s">
        <v>23</v>
      </c>
    </row>
    <row r="68" customFormat="false" ht="32.25" hidden="false" customHeight="true" outlineLevel="0" collapsed="false">
      <c r="A68" s="5" t="n">
        <v>64</v>
      </c>
      <c r="B68" s="5" t="s">
        <v>122</v>
      </c>
      <c r="C68" s="5" t="s">
        <v>1205</v>
      </c>
      <c r="D68" s="5" t="s">
        <v>1163</v>
      </c>
      <c r="E68" s="5" t="s">
        <v>876</v>
      </c>
      <c r="F68" s="5" t="s">
        <v>1206</v>
      </c>
      <c r="G68" s="5" t="s">
        <v>1207</v>
      </c>
      <c r="H68" s="5" t="s">
        <v>1208</v>
      </c>
      <c r="I68" s="5"/>
      <c r="J68" s="5" t="s">
        <v>1209</v>
      </c>
      <c r="K68" s="5" t="s">
        <v>881</v>
      </c>
      <c r="L68" s="5" t="s">
        <v>23</v>
      </c>
    </row>
    <row r="69" customFormat="false" ht="21.75" hidden="false" customHeight="true" outlineLevel="0" collapsed="false">
      <c r="A69" s="5" t="n">
        <v>65</v>
      </c>
      <c r="B69" s="5" t="s">
        <v>129</v>
      </c>
      <c r="C69" s="5" t="s">
        <v>1210</v>
      </c>
      <c r="D69" s="5"/>
      <c r="E69" s="5" t="s">
        <v>206</v>
      </c>
      <c r="F69" s="5" t="s">
        <v>1211</v>
      </c>
      <c r="G69" s="5" t="s">
        <v>1212</v>
      </c>
      <c r="H69" s="5" t="s">
        <v>1213</v>
      </c>
      <c r="I69" s="5" t="s">
        <v>754</v>
      </c>
      <c r="J69" s="5" t="s">
        <v>1214</v>
      </c>
      <c r="K69" s="5" t="s">
        <v>895</v>
      </c>
      <c r="L69" s="5" t="s">
        <v>23</v>
      </c>
    </row>
    <row r="70" customFormat="false" ht="21.75" hidden="false" customHeight="true" outlineLevel="0" collapsed="false">
      <c r="A70" s="5" t="n">
        <v>66</v>
      </c>
      <c r="B70" s="5" t="s">
        <v>129</v>
      </c>
      <c r="C70" s="5" t="s">
        <v>1215</v>
      </c>
      <c r="D70" s="5"/>
      <c r="E70" s="5" t="s">
        <v>206</v>
      </c>
      <c r="F70" s="5" t="s">
        <v>1216</v>
      </c>
      <c r="G70" s="5"/>
      <c r="H70" s="5" t="s">
        <v>1217</v>
      </c>
      <c r="I70" s="5"/>
      <c r="J70" s="5" t="s">
        <v>1214</v>
      </c>
      <c r="K70" s="5" t="s">
        <v>895</v>
      </c>
      <c r="L70" s="5" t="s">
        <v>23</v>
      </c>
    </row>
    <row r="71" customFormat="false" ht="15" hidden="false" customHeight="true" outlineLevel="0" collapsed="false">
      <c r="A71" s="5" t="n">
        <v>67</v>
      </c>
      <c r="B71" s="5" t="s">
        <v>129</v>
      </c>
      <c r="C71" s="5" t="s">
        <v>1162</v>
      </c>
      <c r="D71" s="5" t="s">
        <v>1163</v>
      </c>
      <c r="E71" s="5" t="s">
        <v>876</v>
      </c>
      <c r="F71" s="5" t="s">
        <v>1218</v>
      </c>
      <c r="G71" s="5" t="s">
        <v>1219</v>
      </c>
      <c r="H71" s="5" t="s">
        <v>1220</v>
      </c>
      <c r="I71" s="5" t="s">
        <v>754</v>
      </c>
      <c r="J71" s="5" t="s">
        <v>1221</v>
      </c>
      <c r="K71" s="5" t="s">
        <v>881</v>
      </c>
      <c r="L71" s="5" t="s">
        <v>23</v>
      </c>
    </row>
    <row r="72" customFormat="false" ht="32.25" hidden="false" customHeight="true" outlineLevel="0" collapsed="false">
      <c r="A72" s="5" t="n">
        <v>68</v>
      </c>
      <c r="B72" s="5" t="s">
        <v>129</v>
      </c>
      <c r="C72" s="5" t="s">
        <v>1222</v>
      </c>
      <c r="D72" s="5"/>
      <c r="E72" s="5" t="s">
        <v>1223</v>
      </c>
      <c r="F72" s="5" t="s">
        <v>1224</v>
      </c>
      <c r="G72" s="5" t="s">
        <v>1225</v>
      </c>
      <c r="H72" s="5" t="s">
        <v>1226</v>
      </c>
      <c r="I72" s="5" t="s">
        <v>1227</v>
      </c>
      <c r="J72" s="5" t="s">
        <v>1228</v>
      </c>
      <c r="K72" s="5" t="s">
        <v>961</v>
      </c>
      <c r="L72" s="5" t="s">
        <v>23</v>
      </c>
    </row>
    <row r="73" customFormat="false" ht="53.25" hidden="false" customHeight="true" outlineLevel="0" collapsed="false">
      <c r="A73" s="5" t="n">
        <v>69</v>
      </c>
      <c r="B73" s="5" t="s">
        <v>136</v>
      </c>
      <c r="C73" s="5" t="s">
        <v>1229</v>
      </c>
      <c r="D73" s="5"/>
      <c r="E73" s="5" t="s">
        <v>294</v>
      </c>
      <c r="F73" s="5" t="s">
        <v>1230</v>
      </c>
      <c r="G73" s="5" t="s">
        <v>1231</v>
      </c>
      <c r="H73" s="5" t="s">
        <v>1232</v>
      </c>
      <c r="I73" s="5" t="s">
        <v>1233</v>
      </c>
      <c r="J73" s="5" t="s">
        <v>1234</v>
      </c>
      <c r="K73" s="5" t="s">
        <v>895</v>
      </c>
      <c r="L73" s="5" t="s">
        <v>23</v>
      </c>
    </row>
    <row r="74" customFormat="false" ht="32.25" hidden="false" customHeight="true" outlineLevel="0" collapsed="false">
      <c r="A74" s="5" t="n">
        <v>70</v>
      </c>
      <c r="B74" s="5" t="s">
        <v>136</v>
      </c>
      <c r="C74" s="5" t="s">
        <v>1235</v>
      </c>
      <c r="D74" s="5" t="s">
        <v>1236</v>
      </c>
      <c r="E74" s="5" t="s">
        <v>876</v>
      </c>
      <c r="F74" s="5" t="s">
        <v>1237</v>
      </c>
      <c r="G74" s="5" t="s">
        <v>1238</v>
      </c>
      <c r="H74" s="5" t="s">
        <v>1239</v>
      </c>
      <c r="I74" s="5" t="s">
        <v>96</v>
      </c>
      <c r="J74" s="5" t="s">
        <v>147</v>
      </c>
      <c r="K74" s="5" t="s">
        <v>881</v>
      </c>
      <c r="L74" s="5" t="s">
        <v>23</v>
      </c>
    </row>
    <row r="75" customFormat="false" ht="32.25" hidden="false" customHeight="true" outlineLevel="0" collapsed="false">
      <c r="A75" s="7" t="n">
        <v>71</v>
      </c>
      <c r="B75" s="7" t="s">
        <v>136</v>
      </c>
      <c r="C75" s="7" t="s">
        <v>1240</v>
      </c>
      <c r="D75" s="7" t="s">
        <v>1241</v>
      </c>
      <c r="E75" s="7" t="s">
        <v>876</v>
      </c>
      <c r="F75" s="7" t="s">
        <v>1242</v>
      </c>
      <c r="G75" s="7" t="s">
        <v>1243</v>
      </c>
      <c r="H75" s="7" t="s">
        <v>1244</v>
      </c>
      <c r="I75" s="7" t="s">
        <v>1245</v>
      </c>
      <c r="J75" s="7" t="s">
        <v>147</v>
      </c>
      <c r="K75" s="7" t="s">
        <v>881</v>
      </c>
      <c r="L75" s="7" t="s">
        <v>507</v>
      </c>
    </row>
    <row r="76" customFormat="false" ht="32.25" hidden="false" customHeight="true" outlineLevel="0" collapsed="false">
      <c r="A76" s="7" t="n">
        <v>72</v>
      </c>
      <c r="B76" s="7" t="s">
        <v>136</v>
      </c>
      <c r="C76" s="7" t="s">
        <v>1246</v>
      </c>
      <c r="D76" s="7" t="s">
        <v>1247</v>
      </c>
      <c r="E76" s="7" t="s">
        <v>876</v>
      </c>
      <c r="F76" s="7" t="s">
        <v>1248</v>
      </c>
      <c r="G76" s="7" t="s">
        <v>1249</v>
      </c>
      <c r="H76" s="7" t="s">
        <v>1250</v>
      </c>
      <c r="I76" s="7" t="s">
        <v>1251</v>
      </c>
      <c r="J76" s="7" t="s">
        <v>147</v>
      </c>
      <c r="K76" s="7" t="s">
        <v>881</v>
      </c>
      <c r="L76" s="7" t="s">
        <v>507</v>
      </c>
    </row>
    <row r="77" customFormat="false" ht="21.75" hidden="false" customHeight="true" outlineLevel="0" collapsed="false">
      <c r="A77" s="5" t="n">
        <v>73</v>
      </c>
      <c r="B77" s="5" t="s">
        <v>136</v>
      </c>
      <c r="C77" s="5" t="s">
        <v>1252</v>
      </c>
      <c r="D77" s="5"/>
      <c r="E77" s="5" t="s">
        <v>876</v>
      </c>
      <c r="F77" s="5" t="s">
        <v>1253</v>
      </c>
      <c r="G77" s="5" t="s">
        <v>1254</v>
      </c>
      <c r="H77" s="5" t="s">
        <v>1255</v>
      </c>
      <c r="I77" s="5" t="s">
        <v>1251</v>
      </c>
      <c r="J77" s="5" t="s">
        <v>1256</v>
      </c>
      <c r="K77" s="5" t="s">
        <v>881</v>
      </c>
      <c r="L77" s="5" t="s">
        <v>23</v>
      </c>
    </row>
    <row r="78" customFormat="false" ht="42.75" hidden="false" customHeight="true" outlineLevel="0" collapsed="false">
      <c r="A78" s="5" t="n">
        <v>74</v>
      </c>
      <c r="B78" s="5" t="s">
        <v>136</v>
      </c>
      <c r="C78" s="5" t="s">
        <v>1257</v>
      </c>
      <c r="D78" s="5" t="s">
        <v>1258</v>
      </c>
      <c r="E78" s="5" t="s">
        <v>876</v>
      </c>
      <c r="F78" s="5" t="s">
        <v>1259</v>
      </c>
      <c r="G78" s="5" t="s">
        <v>1260</v>
      </c>
      <c r="H78" s="5" t="s">
        <v>1261</v>
      </c>
      <c r="I78" s="5" t="s">
        <v>1251</v>
      </c>
      <c r="J78" s="5" t="s">
        <v>1262</v>
      </c>
      <c r="K78" s="5" t="s">
        <v>68</v>
      </c>
      <c r="L78" s="5" t="s">
        <v>23</v>
      </c>
    </row>
    <row r="79" customFormat="false" ht="32.25" hidden="false" customHeight="true" outlineLevel="0" collapsed="false">
      <c r="A79" s="5" t="n">
        <v>75</v>
      </c>
      <c r="B79" s="5" t="s">
        <v>136</v>
      </c>
      <c r="C79" s="5" t="s">
        <v>1263</v>
      </c>
      <c r="D79" s="5" t="s">
        <v>1163</v>
      </c>
      <c r="E79" s="5" t="s">
        <v>876</v>
      </c>
      <c r="F79" s="5" t="s">
        <v>1264</v>
      </c>
      <c r="G79" s="5" t="s">
        <v>1265</v>
      </c>
      <c r="H79" s="5" t="s">
        <v>1266</v>
      </c>
      <c r="I79" s="5" t="s">
        <v>1251</v>
      </c>
      <c r="J79" s="5" t="s">
        <v>147</v>
      </c>
      <c r="K79" s="5" t="s">
        <v>881</v>
      </c>
      <c r="L79" s="5" t="s">
        <v>23</v>
      </c>
    </row>
    <row r="80" customFormat="false" ht="32.25" hidden="false" customHeight="true" outlineLevel="0" collapsed="false">
      <c r="A80" s="5" t="n">
        <v>76</v>
      </c>
      <c r="B80" s="5" t="s">
        <v>136</v>
      </c>
      <c r="C80" s="5" t="s">
        <v>1267</v>
      </c>
      <c r="D80" s="5" t="s">
        <v>1268</v>
      </c>
      <c r="E80" s="5" t="s">
        <v>148</v>
      </c>
      <c r="F80" s="5" t="s">
        <v>1269</v>
      </c>
      <c r="G80" s="5" t="s">
        <v>1270</v>
      </c>
      <c r="H80" s="5" t="s">
        <v>1271</v>
      </c>
      <c r="I80" s="5"/>
      <c r="J80" s="5" t="s">
        <v>152</v>
      </c>
      <c r="K80" s="5" t="s">
        <v>881</v>
      </c>
      <c r="L80" s="5" t="s">
        <v>419</v>
      </c>
    </row>
    <row r="81" customFormat="false" ht="42.75" hidden="false" customHeight="true" outlineLevel="0" collapsed="false">
      <c r="A81" s="5" t="n">
        <v>77</v>
      </c>
      <c r="B81" s="5" t="s">
        <v>136</v>
      </c>
      <c r="C81" s="5" t="s">
        <v>1272</v>
      </c>
      <c r="D81" s="5"/>
      <c r="E81" s="5" t="s">
        <v>110</v>
      </c>
      <c r="F81" s="5" t="s">
        <v>1273</v>
      </c>
      <c r="G81" s="5" t="s">
        <v>1274</v>
      </c>
      <c r="H81" s="5" t="s">
        <v>1275</v>
      </c>
      <c r="I81" s="5"/>
      <c r="J81" s="5" t="s">
        <v>1276</v>
      </c>
      <c r="K81" s="5" t="s">
        <v>881</v>
      </c>
      <c r="L81" s="5" t="s">
        <v>23</v>
      </c>
    </row>
    <row r="82" customFormat="false" ht="21.75" hidden="false" customHeight="true" outlineLevel="0" collapsed="false">
      <c r="A82" s="5" t="n">
        <v>78</v>
      </c>
      <c r="B82" s="5" t="s">
        <v>144</v>
      </c>
      <c r="C82" s="5" t="s">
        <v>1277</v>
      </c>
      <c r="D82" s="5"/>
      <c r="E82" s="5" t="s">
        <v>301</v>
      </c>
      <c r="F82" s="5" t="s">
        <v>1278</v>
      </c>
      <c r="G82" s="5"/>
      <c r="H82" s="5" t="s">
        <v>1279</v>
      </c>
      <c r="I82" s="5" t="s">
        <v>96</v>
      </c>
      <c r="J82" s="5" t="s">
        <v>147</v>
      </c>
      <c r="K82" s="5" t="s">
        <v>895</v>
      </c>
      <c r="L82" s="5" t="s">
        <v>23</v>
      </c>
    </row>
    <row r="83" customFormat="false" ht="21.75" hidden="false" customHeight="true" outlineLevel="0" collapsed="false">
      <c r="A83" s="5" t="n">
        <v>79</v>
      </c>
      <c r="B83" s="5" t="s">
        <v>148</v>
      </c>
      <c r="C83" s="5" t="s">
        <v>1222</v>
      </c>
      <c r="D83" s="5"/>
      <c r="E83" s="5" t="s">
        <v>1280</v>
      </c>
      <c r="F83" s="5" t="s">
        <v>1281</v>
      </c>
      <c r="G83" s="5"/>
      <c r="H83" s="5" t="s">
        <v>1282</v>
      </c>
      <c r="I83" s="5"/>
      <c r="J83" s="5" t="s">
        <v>152</v>
      </c>
      <c r="K83" s="5" t="s">
        <v>881</v>
      </c>
      <c r="L83" s="5" t="s">
        <v>23</v>
      </c>
    </row>
    <row r="84" customFormat="false" ht="21.75" hidden="false" customHeight="true" outlineLevel="0" collapsed="false">
      <c r="A84" s="5" t="n">
        <v>80</v>
      </c>
      <c r="B84" s="5" t="s">
        <v>153</v>
      </c>
      <c r="C84" s="5" t="s">
        <v>1283</v>
      </c>
      <c r="D84" s="5" t="s">
        <v>1284</v>
      </c>
      <c r="E84" s="5" t="s">
        <v>153</v>
      </c>
      <c r="F84" s="5" t="s">
        <v>1285</v>
      </c>
      <c r="G84" s="5" t="s">
        <v>1286</v>
      </c>
      <c r="H84" s="5" t="s">
        <v>1287</v>
      </c>
      <c r="I84" s="5" t="s">
        <v>827</v>
      </c>
      <c r="J84" s="5" t="s">
        <v>1288</v>
      </c>
      <c r="K84" s="5" t="s">
        <v>68</v>
      </c>
      <c r="L84" s="5" t="s">
        <v>23</v>
      </c>
    </row>
    <row r="85" customFormat="false" ht="21.75" hidden="false" customHeight="true" outlineLevel="0" collapsed="false">
      <c r="A85" s="5" t="n">
        <v>81</v>
      </c>
      <c r="B85" s="5" t="s">
        <v>153</v>
      </c>
      <c r="C85" s="5" t="s">
        <v>1289</v>
      </c>
      <c r="D85" s="5" t="s">
        <v>1290</v>
      </c>
      <c r="E85" s="5" t="s">
        <v>876</v>
      </c>
      <c r="F85" s="5" t="s">
        <v>1291</v>
      </c>
      <c r="G85" s="5" t="s">
        <v>1292</v>
      </c>
      <c r="H85" s="5" t="s">
        <v>1293</v>
      </c>
      <c r="I85" s="5"/>
      <c r="J85" s="5" t="s">
        <v>1294</v>
      </c>
      <c r="K85" s="5" t="s">
        <v>881</v>
      </c>
      <c r="L85" s="5" t="s">
        <v>23</v>
      </c>
    </row>
    <row r="86" customFormat="false" ht="21.75" hidden="false" customHeight="true" outlineLevel="0" collapsed="false">
      <c r="A86" s="5" t="n">
        <v>82</v>
      </c>
      <c r="B86" s="5" t="s">
        <v>153</v>
      </c>
      <c r="C86" s="5" t="s">
        <v>1205</v>
      </c>
      <c r="D86" s="5" t="s">
        <v>1163</v>
      </c>
      <c r="E86" s="5" t="s">
        <v>876</v>
      </c>
      <c r="F86" s="5" t="s">
        <v>1295</v>
      </c>
      <c r="G86" s="5" t="s">
        <v>1296</v>
      </c>
      <c r="H86" s="5" t="s">
        <v>1297</v>
      </c>
      <c r="I86" s="5" t="s">
        <v>1298</v>
      </c>
      <c r="J86" s="5" t="s">
        <v>1299</v>
      </c>
      <c r="K86" s="5" t="s">
        <v>881</v>
      </c>
      <c r="L86" s="5" t="s">
        <v>23</v>
      </c>
    </row>
    <row r="87" customFormat="false" ht="21.75" hidden="false" customHeight="true" outlineLevel="0" collapsed="false">
      <c r="A87" s="5" t="n">
        <v>83</v>
      </c>
      <c r="B87" s="5" t="s">
        <v>153</v>
      </c>
      <c r="C87" s="5" t="s">
        <v>1300</v>
      </c>
      <c r="D87" s="5" t="s">
        <v>1301</v>
      </c>
      <c r="E87" s="5" t="s">
        <v>876</v>
      </c>
      <c r="F87" s="5" t="s">
        <v>1302</v>
      </c>
      <c r="G87" s="5" t="s">
        <v>1303</v>
      </c>
      <c r="H87" s="5" t="s">
        <v>1304</v>
      </c>
      <c r="I87" s="5" t="s">
        <v>1305</v>
      </c>
      <c r="J87" s="5" t="s">
        <v>1306</v>
      </c>
      <c r="K87" s="5" t="s">
        <v>881</v>
      </c>
      <c r="L87" s="5" t="s">
        <v>23</v>
      </c>
    </row>
    <row r="88" customFormat="false" ht="21.75" hidden="false" customHeight="true" outlineLevel="0" collapsed="false">
      <c r="A88" s="5" t="n">
        <v>84</v>
      </c>
      <c r="B88" s="5" t="s">
        <v>153</v>
      </c>
      <c r="C88" s="5" t="s">
        <v>1307</v>
      </c>
      <c r="D88" s="5" t="s">
        <v>1308</v>
      </c>
      <c r="E88" s="5" t="s">
        <v>876</v>
      </c>
      <c r="F88" s="5" t="s">
        <v>1309</v>
      </c>
      <c r="G88" s="5" t="s">
        <v>1310</v>
      </c>
      <c r="H88" s="5" t="s">
        <v>1311</v>
      </c>
      <c r="I88" s="5"/>
      <c r="J88" s="5" t="s">
        <v>1312</v>
      </c>
      <c r="K88" s="5" t="s">
        <v>68</v>
      </c>
      <c r="L88" s="5" t="s">
        <v>23</v>
      </c>
    </row>
    <row r="89" customFormat="false" ht="21.75" hidden="false" customHeight="true" outlineLevel="0" collapsed="false">
      <c r="A89" s="5" t="n">
        <v>85</v>
      </c>
      <c r="B89" s="5" t="s">
        <v>153</v>
      </c>
      <c r="C89" s="5" t="s">
        <v>1313</v>
      </c>
      <c r="D89" s="5"/>
      <c r="E89" s="5" t="s">
        <v>116</v>
      </c>
      <c r="F89" s="5" t="s">
        <v>1314</v>
      </c>
      <c r="G89" s="5" t="s">
        <v>1315</v>
      </c>
      <c r="H89" s="5" t="s">
        <v>1316</v>
      </c>
      <c r="I89" s="5" t="s">
        <v>1317</v>
      </c>
      <c r="J89" s="5" t="s">
        <v>1318</v>
      </c>
      <c r="K89" s="5" t="s">
        <v>895</v>
      </c>
      <c r="L89" s="5" t="s">
        <v>23</v>
      </c>
    </row>
    <row r="90" customFormat="false" ht="15" hidden="false" customHeight="true" outlineLevel="0" collapsed="false">
      <c r="A90" s="5" t="n">
        <v>86</v>
      </c>
      <c r="B90" s="5" t="s">
        <v>160</v>
      </c>
      <c r="C90" s="5" t="s">
        <v>983</v>
      </c>
      <c r="D90" s="5" t="s">
        <v>1319</v>
      </c>
      <c r="E90" s="5" t="s">
        <v>876</v>
      </c>
      <c r="F90" s="5" t="s">
        <v>1320</v>
      </c>
      <c r="G90" s="5"/>
      <c r="H90" s="5" t="s">
        <v>1321</v>
      </c>
      <c r="I90" s="5"/>
      <c r="J90" s="5" t="s">
        <v>163</v>
      </c>
      <c r="K90" s="5" t="s">
        <v>895</v>
      </c>
      <c r="L90" s="5" t="s">
        <v>23</v>
      </c>
    </row>
    <row r="91" customFormat="false" ht="53.25" hidden="false" customHeight="true" outlineLevel="0" collapsed="false">
      <c r="A91" s="7" t="n">
        <v>87</v>
      </c>
      <c r="B91" s="7" t="s">
        <v>164</v>
      </c>
      <c r="C91" s="7" t="s">
        <v>1322</v>
      </c>
      <c r="D91" s="7" t="s">
        <v>1323</v>
      </c>
      <c r="E91" s="7" t="s">
        <v>1324</v>
      </c>
      <c r="F91" s="7" t="s">
        <v>1325</v>
      </c>
      <c r="G91" s="7" t="s">
        <v>1326</v>
      </c>
      <c r="H91" s="7" t="s">
        <v>1327</v>
      </c>
      <c r="I91" s="7" t="s">
        <v>1328</v>
      </c>
      <c r="J91" s="7" t="s">
        <v>941</v>
      </c>
      <c r="K91" s="7" t="s">
        <v>909</v>
      </c>
      <c r="L91" s="7" t="s">
        <v>170</v>
      </c>
    </row>
    <row r="92" customFormat="false" ht="21.75" hidden="false" customHeight="true" outlineLevel="0" collapsed="false">
      <c r="A92" s="7" t="n">
        <v>88</v>
      </c>
      <c r="B92" s="7" t="s">
        <v>164</v>
      </c>
      <c r="C92" s="7" t="s">
        <v>1329</v>
      </c>
      <c r="D92" s="7" t="s">
        <v>1330</v>
      </c>
      <c r="E92" s="7" t="s">
        <v>876</v>
      </c>
      <c r="F92" s="7" t="s">
        <v>1331</v>
      </c>
      <c r="G92" s="7"/>
      <c r="H92" s="7" t="s">
        <v>1332</v>
      </c>
      <c r="I92" s="7"/>
      <c r="J92" s="7" t="s">
        <v>1161</v>
      </c>
      <c r="K92" s="7" t="s">
        <v>881</v>
      </c>
      <c r="L92" s="7" t="s">
        <v>170</v>
      </c>
    </row>
    <row r="93" customFormat="false" ht="21.75" hidden="false" customHeight="true" outlineLevel="0" collapsed="false">
      <c r="A93" s="7" t="n">
        <v>89</v>
      </c>
      <c r="B93" s="7" t="s">
        <v>164</v>
      </c>
      <c r="C93" s="7" t="s">
        <v>1333</v>
      </c>
      <c r="D93" s="7" t="s">
        <v>1323</v>
      </c>
      <c r="E93" s="7" t="s">
        <v>1334</v>
      </c>
      <c r="F93" s="7" t="s">
        <v>1335</v>
      </c>
      <c r="G93" s="7"/>
      <c r="H93" s="7" t="s">
        <v>1336</v>
      </c>
      <c r="I93" s="7"/>
      <c r="J93" s="7" t="s">
        <v>941</v>
      </c>
      <c r="K93" s="7" t="s">
        <v>881</v>
      </c>
      <c r="L93" s="7" t="s">
        <v>170</v>
      </c>
    </row>
    <row r="94" customFormat="false" ht="53.25" hidden="false" customHeight="true" outlineLevel="0" collapsed="false">
      <c r="A94" s="7" t="n">
        <v>90</v>
      </c>
      <c r="B94" s="7" t="s">
        <v>171</v>
      </c>
      <c r="C94" s="7" t="s">
        <v>1337</v>
      </c>
      <c r="D94" s="7" t="s">
        <v>1185</v>
      </c>
      <c r="E94" s="7" t="s">
        <v>876</v>
      </c>
      <c r="F94" s="7" t="s">
        <v>1338</v>
      </c>
      <c r="G94" s="7" t="s">
        <v>1339</v>
      </c>
      <c r="H94" s="7" t="s">
        <v>1340</v>
      </c>
      <c r="I94" s="7"/>
      <c r="J94" s="7" t="s">
        <v>1341</v>
      </c>
      <c r="K94" s="7" t="s">
        <v>895</v>
      </c>
      <c r="L94" s="7" t="s">
        <v>170</v>
      </c>
    </row>
    <row r="95" customFormat="false" ht="32.25" hidden="false" customHeight="true" outlineLevel="0" collapsed="false">
      <c r="A95" s="7" t="n">
        <v>91</v>
      </c>
      <c r="B95" s="7" t="s">
        <v>176</v>
      </c>
      <c r="C95" s="7" t="s">
        <v>1342</v>
      </c>
      <c r="D95" s="7"/>
      <c r="E95" s="7" t="s">
        <v>1343</v>
      </c>
      <c r="F95" s="7" t="s">
        <v>179</v>
      </c>
      <c r="G95" s="7" t="s">
        <v>1102</v>
      </c>
      <c r="H95" s="7" t="s">
        <v>1344</v>
      </c>
      <c r="I95" s="7"/>
      <c r="J95" s="7" t="s">
        <v>180</v>
      </c>
      <c r="K95" s="7" t="s">
        <v>881</v>
      </c>
      <c r="L95" s="7" t="s">
        <v>1345</v>
      </c>
    </row>
    <row r="96" customFormat="false" ht="21.75" hidden="false" customHeight="true" outlineLevel="0" collapsed="false">
      <c r="A96" s="7" t="n">
        <v>92</v>
      </c>
      <c r="B96" s="7" t="s">
        <v>181</v>
      </c>
      <c r="C96" s="7" t="s">
        <v>1346</v>
      </c>
      <c r="D96" s="7"/>
      <c r="E96" s="7" t="s">
        <v>1347</v>
      </c>
      <c r="F96" s="7" t="s">
        <v>1348</v>
      </c>
      <c r="G96" s="7"/>
      <c r="H96" s="7" t="s">
        <v>1349</v>
      </c>
      <c r="I96" s="7"/>
      <c r="J96" s="7" t="s">
        <v>1350</v>
      </c>
      <c r="K96" s="7" t="s">
        <v>881</v>
      </c>
      <c r="L96" s="7" t="s">
        <v>170</v>
      </c>
    </row>
    <row r="97" customFormat="false" ht="21.75" hidden="false" customHeight="true" outlineLevel="0" collapsed="false">
      <c r="A97" s="7" t="n">
        <v>93</v>
      </c>
      <c r="B97" s="7" t="s">
        <v>181</v>
      </c>
      <c r="C97" s="7" t="s">
        <v>1351</v>
      </c>
      <c r="D97" s="7" t="s">
        <v>1323</v>
      </c>
      <c r="E97" s="7" t="s">
        <v>294</v>
      </c>
      <c r="F97" s="7" t="s">
        <v>1352</v>
      </c>
      <c r="G97" s="7"/>
      <c r="H97" s="7" t="s">
        <v>1353</v>
      </c>
      <c r="I97" s="7"/>
      <c r="J97" s="7" t="s">
        <v>1350</v>
      </c>
      <c r="K97" s="7" t="s">
        <v>881</v>
      </c>
      <c r="L97" s="7" t="s">
        <v>170</v>
      </c>
    </row>
    <row r="98" customFormat="false" ht="32.25" hidden="false" customHeight="true" outlineLevel="0" collapsed="false">
      <c r="A98" s="7" t="n">
        <v>94</v>
      </c>
      <c r="B98" s="7" t="s">
        <v>181</v>
      </c>
      <c r="C98" s="7" t="s">
        <v>1354</v>
      </c>
      <c r="D98" s="7" t="s">
        <v>1323</v>
      </c>
      <c r="E98" s="7" t="s">
        <v>1355</v>
      </c>
      <c r="F98" s="7" t="s">
        <v>1356</v>
      </c>
      <c r="G98" s="7"/>
      <c r="H98" s="7" t="s">
        <v>1357</v>
      </c>
      <c r="I98" s="7"/>
      <c r="J98" s="7" t="s">
        <v>1358</v>
      </c>
      <c r="K98" s="7" t="s">
        <v>881</v>
      </c>
      <c r="L98" s="7" t="s">
        <v>170</v>
      </c>
    </row>
    <row r="99" customFormat="false" ht="15" hidden="false" customHeight="true" outlineLevel="0" collapsed="false">
      <c r="A99" s="7" t="n">
        <v>95</v>
      </c>
      <c r="B99" s="7" t="s">
        <v>181</v>
      </c>
      <c r="C99" s="7" t="s">
        <v>1359</v>
      </c>
      <c r="D99" s="7" t="s">
        <v>1360</v>
      </c>
      <c r="E99" s="7" t="s">
        <v>294</v>
      </c>
      <c r="F99" s="7" t="s">
        <v>1361</v>
      </c>
      <c r="G99" s="7"/>
      <c r="H99" s="7" t="s">
        <v>1362</v>
      </c>
      <c r="I99" s="7"/>
      <c r="J99" s="7" t="s">
        <v>1358</v>
      </c>
      <c r="K99" s="7" t="s">
        <v>881</v>
      </c>
      <c r="L99" s="7" t="s">
        <v>170</v>
      </c>
    </row>
    <row r="100" customFormat="false" ht="21.75" hidden="false" customHeight="true" outlineLevel="0" collapsed="false">
      <c r="A100" s="7" t="n">
        <v>96</v>
      </c>
      <c r="B100" s="7" t="s">
        <v>181</v>
      </c>
      <c r="C100" s="7" t="s">
        <v>1363</v>
      </c>
      <c r="D100" s="7" t="s">
        <v>1185</v>
      </c>
      <c r="E100" s="7" t="s">
        <v>1364</v>
      </c>
      <c r="F100" s="7" t="s">
        <v>1365</v>
      </c>
      <c r="G100" s="7"/>
      <c r="H100" s="7" t="s">
        <v>1366</v>
      </c>
      <c r="I100" s="7"/>
      <c r="J100" s="7" t="s">
        <v>1358</v>
      </c>
      <c r="K100" s="7" t="s">
        <v>881</v>
      </c>
      <c r="L100" s="7" t="s">
        <v>170</v>
      </c>
    </row>
    <row r="101" customFormat="false" ht="15" hidden="false" customHeight="true" outlineLevel="0" collapsed="false">
      <c r="A101" s="7" t="n">
        <v>97</v>
      </c>
      <c r="B101" s="7" t="s">
        <v>181</v>
      </c>
      <c r="C101" s="7" t="s">
        <v>1367</v>
      </c>
      <c r="D101" s="7"/>
      <c r="E101" s="7" t="s">
        <v>1364</v>
      </c>
      <c r="F101" s="7" t="s">
        <v>1368</v>
      </c>
      <c r="G101" s="7"/>
      <c r="H101" s="7" t="s">
        <v>1369</v>
      </c>
      <c r="I101" s="7" t="s">
        <v>1370</v>
      </c>
      <c r="J101" s="7" t="s">
        <v>1371</v>
      </c>
      <c r="K101" s="7" t="s">
        <v>881</v>
      </c>
      <c r="L101" s="7" t="s">
        <v>170</v>
      </c>
    </row>
    <row r="102" customFormat="false" ht="15" hidden="false" customHeight="true" outlineLevel="0" collapsed="false">
      <c r="A102" s="7" t="n">
        <v>98</v>
      </c>
      <c r="B102" s="7" t="s">
        <v>181</v>
      </c>
      <c r="C102" s="7" t="s">
        <v>1372</v>
      </c>
      <c r="D102" s="7" t="s">
        <v>1373</v>
      </c>
      <c r="E102" s="7" t="s">
        <v>1025</v>
      </c>
      <c r="F102" s="7" t="s">
        <v>1374</v>
      </c>
      <c r="G102" s="7"/>
      <c r="H102" s="7"/>
      <c r="I102" s="7"/>
      <c r="J102" s="7" t="s">
        <v>1371</v>
      </c>
      <c r="K102" s="7" t="s">
        <v>881</v>
      </c>
      <c r="L102" s="7" t="s">
        <v>170</v>
      </c>
    </row>
    <row r="103" customFormat="false" ht="15" hidden="false" customHeight="true" outlineLevel="0" collapsed="false">
      <c r="A103" s="7" t="n">
        <v>99</v>
      </c>
      <c r="B103" s="7" t="s">
        <v>181</v>
      </c>
      <c r="C103" s="7" t="s">
        <v>1375</v>
      </c>
      <c r="D103" s="7"/>
      <c r="E103" s="7" t="s">
        <v>1376</v>
      </c>
      <c r="F103" s="7" t="s">
        <v>1377</v>
      </c>
      <c r="G103" s="7"/>
      <c r="H103" s="7" t="s">
        <v>1349</v>
      </c>
      <c r="I103" s="7"/>
      <c r="J103" s="7" t="s">
        <v>1378</v>
      </c>
      <c r="K103" s="7" t="s">
        <v>881</v>
      </c>
      <c r="L103" s="7" t="s">
        <v>170</v>
      </c>
    </row>
    <row r="104" customFormat="false" ht="32.25" hidden="false" customHeight="true" outlineLevel="0" collapsed="false">
      <c r="A104" s="7" t="n">
        <v>100</v>
      </c>
      <c r="B104" s="7" t="s">
        <v>185</v>
      </c>
      <c r="C104" s="7" t="s">
        <v>1379</v>
      </c>
      <c r="D104" s="7" t="s">
        <v>1380</v>
      </c>
      <c r="E104" s="7" t="s">
        <v>1381</v>
      </c>
      <c r="F104" s="7" t="s">
        <v>1382</v>
      </c>
      <c r="G104" s="7" t="s">
        <v>1383</v>
      </c>
      <c r="H104" s="7" t="s">
        <v>1384</v>
      </c>
      <c r="I104" s="7"/>
      <c r="J104" s="7" t="s">
        <v>1385</v>
      </c>
      <c r="K104" s="7" t="s">
        <v>881</v>
      </c>
      <c r="L104" s="7" t="s">
        <v>1345</v>
      </c>
    </row>
  </sheetData>
  <autoFilter ref="A4:L10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83" activePane="bottomRight" state="frozen"/>
      <selection pane="topLeft" activeCell="A1" activeCellId="0" sqref="A1"/>
      <selection pane="topRight" activeCell="C1" activeCellId="0" sqref="C1"/>
      <selection pane="bottomLeft" activeCell="A83" activeCellId="0" sqref="A83"/>
      <selection pane="bottomRight" activeCell="D103" activeCellId="0" sqref="D103"/>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24"/>
    <col collapsed="false" customWidth="true" hidden="false" outlineLevel="0" max="4" min="4" style="1" width="30"/>
    <col collapsed="false" customWidth="true" hidden="false" outlineLevel="0" max="5" min="5" style="1" width="46"/>
    <col collapsed="false" customWidth="true" hidden="false" outlineLevel="0" max="6" min="6" style="1" width="34"/>
    <col collapsed="false" customWidth="true" hidden="false" outlineLevel="0" max="7" min="7" style="1" width="24"/>
  </cols>
  <sheetData>
    <row r="1" customFormat="false" ht="17.25" hidden="false" customHeight="true" outlineLevel="0" collapsed="false">
      <c r="A1" s="2" t="s">
        <v>1386</v>
      </c>
    </row>
    <row r="2" customFormat="false" ht="15" hidden="false" customHeight="true" outlineLevel="0" collapsed="false">
      <c r="A2" s="3" t="s">
        <v>1387</v>
      </c>
    </row>
    <row r="4" customFormat="false" ht="31.5" hidden="false" customHeight="true" outlineLevel="0" collapsed="false">
      <c r="A4" s="4" t="s">
        <v>2</v>
      </c>
      <c r="B4" s="4" t="s">
        <v>1388</v>
      </c>
      <c r="C4" s="4" t="s">
        <v>1389</v>
      </c>
      <c r="D4" s="4" t="s">
        <v>1390</v>
      </c>
      <c r="E4" s="4" t="s">
        <v>1391</v>
      </c>
      <c r="F4" s="4" t="s">
        <v>1392</v>
      </c>
      <c r="G4" s="4" t="s">
        <v>1393</v>
      </c>
    </row>
    <row r="5" customFormat="false" ht="21.75" hidden="false" customHeight="true" outlineLevel="0" collapsed="false">
      <c r="A5" s="5" t="n">
        <v>1</v>
      </c>
      <c r="B5" s="5" t="s">
        <v>381</v>
      </c>
      <c r="C5" s="5" t="s">
        <v>1394</v>
      </c>
      <c r="D5" s="5" t="s">
        <v>881</v>
      </c>
      <c r="E5" s="5" t="s">
        <v>1395</v>
      </c>
      <c r="F5" s="5" t="s">
        <v>1396</v>
      </c>
      <c r="G5" s="5" t="s">
        <v>1397</v>
      </c>
    </row>
    <row r="6" customFormat="false" ht="15" hidden="false" customHeight="true" outlineLevel="0" collapsed="false">
      <c r="A6" s="5" t="n">
        <v>2</v>
      </c>
      <c r="B6" s="5" t="s">
        <v>381</v>
      </c>
      <c r="C6" s="5" t="s">
        <v>1398</v>
      </c>
      <c r="D6" s="5" t="s">
        <v>68</v>
      </c>
      <c r="E6" s="5" t="s">
        <v>1399</v>
      </c>
      <c r="F6" s="5"/>
      <c r="G6" s="5"/>
    </row>
    <row r="7" customFormat="false" ht="15" hidden="false" customHeight="true" outlineLevel="0" collapsed="false">
      <c r="A7" s="5" t="n">
        <v>3</v>
      </c>
      <c r="B7" s="5" t="s">
        <v>47</v>
      </c>
      <c r="C7" s="5" t="s">
        <v>386</v>
      </c>
      <c r="D7" s="5" t="s">
        <v>1400</v>
      </c>
      <c r="E7" s="5"/>
      <c r="F7" s="5" t="s">
        <v>1401</v>
      </c>
      <c r="G7" s="5" t="s">
        <v>1402</v>
      </c>
    </row>
    <row r="8" customFormat="false" ht="15" hidden="false" customHeight="true" outlineLevel="0" collapsed="false">
      <c r="A8" s="5" t="n">
        <v>4</v>
      </c>
      <c r="B8" s="5" t="s">
        <v>47</v>
      </c>
      <c r="C8" s="5" t="s">
        <v>1403</v>
      </c>
      <c r="D8" s="5" t="s">
        <v>1404</v>
      </c>
      <c r="E8" s="5" t="s">
        <v>1405</v>
      </c>
      <c r="F8" s="5"/>
      <c r="G8" s="5"/>
    </row>
    <row r="9" customFormat="false" ht="15" hidden="false" customHeight="true" outlineLevel="0" collapsed="false">
      <c r="A9" s="5" t="n">
        <v>5</v>
      </c>
      <c r="B9" s="5" t="s">
        <v>47</v>
      </c>
      <c r="C9" s="5" t="s">
        <v>1406</v>
      </c>
      <c r="D9" s="5" t="s">
        <v>1407</v>
      </c>
      <c r="E9" s="5" t="s">
        <v>1408</v>
      </c>
      <c r="F9" s="5"/>
      <c r="G9" s="5"/>
    </row>
    <row r="10" customFormat="false" ht="15" hidden="false" customHeight="true" outlineLevel="0" collapsed="false">
      <c r="A10" s="5" t="n">
        <v>6</v>
      </c>
      <c r="B10" s="5" t="s">
        <v>28</v>
      </c>
      <c r="C10" s="5" t="s">
        <v>310</v>
      </c>
      <c r="D10" s="5" t="s">
        <v>1409</v>
      </c>
      <c r="E10" s="5"/>
      <c r="F10" s="5" t="s">
        <v>1410</v>
      </c>
      <c r="G10" s="5" t="s">
        <v>1411</v>
      </c>
    </row>
    <row r="11" customFormat="false" ht="15" hidden="false" customHeight="true" outlineLevel="0" collapsed="false">
      <c r="A11" s="5" t="n">
        <v>7</v>
      </c>
      <c r="B11" s="5" t="s">
        <v>28</v>
      </c>
      <c r="C11" s="5" t="s">
        <v>1412</v>
      </c>
      <c r="D11" s="5" t="s">
        <v>1413</v>
      </c>
      <c r="E11" s="5" t="s">
        <v>1414</v>
      </c>
      <c r="F11" s="5"/>
      <c r="G11" s="5"/>
    </row>
    <row r="12" customFormat="false" ht="15" hidden="false" customHeight="true" outlineLevel="0" collapsed="false">
      <c r="A12" s="5" t="n">
        <v>8</v>
      </c>
      <c r="B12" s="5" t="s">
        <v>28</v>
      </c>
      <c r="C12" s="5" t="s">
        <v>1415</v>
      </c>
      <c r="D12" s="5" t="s">
        <v>1416</v>
      </c>
      <c r="E12" s="5"/>
      <c r="F12" s="5"/>
      <c r="G12" s="5"/>
    </row>
    <row r="13" customFormat="false" ht="15" hidden="false" customHeight="true" outlineLevel="0" collapsed="false">
      <c r="A13" s="5" t="n">
        <v>9</v>
      </c>
      <c r="B13" s="5" t="s">
        <v>344</v>
      </c>
      <c r="C13" s="5" t="s">
        <v>1417</v>
      </c>
      <c r="D13" s="5" t="s">
        <v>1418</v>
      </c>
      <c r="E13" s="5" t="s">
        <v>1419</v>
      </c>
      <c r="F13" s="5" t="s">
        <v>1420</v>
      </c>
      <c r="G13" s="5" t="s">
        <v>1421</v>
      </c>
    </row>
    <row r="14" customFormat="false" ht="15" hidden="false" customHeight="true" outlineLevel="0" collapsed="false">
      <c r="A14" s="5" t="n">
        <v>10</v>
      </c>
      <c r="B14" s="5" t="s">
        <v>344</v>
      </c>
      <c r="C14" s="5" t="s">
        <v>1422</v>
      </c>
      <c r="D14" s="5" t="s">
        <v>1423</v>
      </c>
      <c r="E14" s="5" t="s">
        <v>1424</v>
      </c>
      <c r="F14" s="5"/>
      <c r="G14" s="5"/>
    </row>
    <row r="15" customFormat="false" ht="15" hidden="false" customHeight="true" outlineLevel="0" collapsed="false">
      <c r="A15" s="5" t="n">
        <v>11</v>
      </c>
      <c r="B15" s="5" t="s">
        <v>344</v>
      </c>
      <c r="C15" s="5" t="s">
        <v>1425</v>
      </c>
      <c r="D15" s="5" t="s">
        <v>1426</v>
      </c>
      <c r="E15" s="5" t="s">
        <v>1427</v>
      </c>
      <c r="F15" s="5"/>
      <c r="G15" s="5"/>
    </row>
    <row r="16" customFormat="false" ht="15" hidden="false" customHeight="true" outlineLevel="0" collapsed="false">
      <c r="A16" s="5" t="n">
        <v>12</v>
      </c>
      <c r="B16" s="5" t="s">
        <v>344</v>
      </c>
      <c r="C16" s="5" t="s">
        <v>1428</v>
      </c>
      <c r="D16" s="5" t="s">
        <v>1429</v>
      </c>
      <c r="E16" s="5" t="s">
        <v>1430</v>
      </c>
      <c r="F16" s="5"/>
      <c r="G16" s="5"/>
    </row>
    <row r="17" customFormat="false" ht="15" hidden="false" customHeight="true" outlineLevel="0" collapsed="false">
      <c r="A17" s="5" t="n">
        <v>13</v>
      </c>
      <c r="B17" s="5" t="s">
        <v>344</v>
      </c>
      <c r="C17" s="5" t="s">
        <v>1431</v>
      </c>
      <c r="D17" s="5" t="s">
        <v>1432</v>
      </c>
      <c r="E17" s="5" t="s">
        <v>1433</v>
      </c>
      <c r="F17" s="5"/>
      <c r="G17" s="5"/>
    </row>
    <row r="18" customFormat="false" ht="15" hidden="false" customHeight="true" outlineLevel="0" collapsed="false">
      <c r="A18" s="5" t="n">
        <v>14</v>
      </c>
      <c r="B18" s="5" t="s">
        <v>78</v>
      </c>
      <c r="C18" s="5" t="s">
        <v>547</v>
      </c>
      <c r="D18" s="5" t="s">
        <v>1434</v>
      </c>
      <c r="E18" s="5" t="s">
        <v>1435</v>
      </c>
      <c r="F18" s="5" t="s">
        <v>1436</v>
      </c>
      <c r="G18" s="5" t="s">
        <v>1437</v>
      </c>
    </row>
    <row r="19" customFormat="false" ht="15" hidden="false" customHeight="true" outlineLevel="0" collapsed="false">
      <c r="A19" s="5" t="n">
        <v>15</v>
      </c>
      <c r="B19" s="5" t="s">
        <v>78</v>
      </c>
      <c r="C19" s="5" t="s">
        <v>772</v>
      </c>
      <c r="D19" s="5" t="s">
        <v>1438</v>
      </c>
      <c r="E19" s="5" t="s">
        <v>1439</v>
      </c>
      <c r="F19" s="5"/>
      <c r="G19" s="5"/>
    </row>
    <row r="20" customFormat="false" ht="15" hidden="false" customHeight="true" outlineLevel="0" collapsed="false">
      <c r="A20" s="5" t="n">
        <v>16</v>
      </c>
      <c r="B20" s="5" t="s">
        <v>78</v>
      </c>
      <c r="C20" s="5" t="s">
        <v>1440</v>
      </c>
      <c r="D20" s="5" t="s">
        <v>1441</v>
      </c>
      <c r="E20" s="5"/>
      <c r="F20" s="5"/>
      <c r="G20" s="5"/>
    </row>
    <row r="21" customFormat="false" ht="15" hidden="false" customHeight="true" outlineLevel="0" collapsed="false">
      <c r="A21" s="5" t="n">
        <v>17</v>
      </c>
      <c r="B21" s="5" t="s">
        <v>554</v>
      </c>
      <c r="C21" s="5" t="s">
        <v>1442</v>
      </c>
      <c r="D21" s="5" t="s">
        <v>1443</v>
      </c>
      <c r="E21" s="5"/>
      <c r="F21" s="5" t="s">
        <v>1444</v>
      </c>
      <c r="G21" s="5" t="s">
        <v>1445</v>
      </c>
    </row>
    <row r="22" customFormat="false" ht="15" hidden="false" customHeight="true" outlineLevel="0" collapsed="false">
      <c r="A22" s="5" t="n">
        <v>18</v>
      </c>
      <c r="B22" s="5" t="s">
        <v>554</v>
      </c>
      <c r="C22" s="5" t="s">
        <v>1446</v>
      </c>
      <c r="D22" s="5" t="s">
        <v>1447</v>
      </c>
      <c r="E22" s="5"/>
      <c r="F22" s="5"/>
      <c r="G22" s="5"/>
    </row>
    <row r="23" customFormat="false" ht="15" hidden="false" customHeight="true" outlineLevel="0" collapsed="false">
      <c r="A23" s="5" t="n">
        <v>19</v>
      </c>
      <c r="B23" s="5" t="s">
        <v>554</v>
      </c>
      <c r="C23" s="5" t="s">
        <v>1448</v>
      </c>
      <c r="D23" s="5" t="s">
        <v>1449</v>
      </c>
      <c r="E23" s="5"/>
      <c r="F23" s="5"/>
      <c r="G23" s="5"/>
    </row>
    <row r="24" customFormat="false" ht="15" hidden="false" customHeight="true" outlineLevel="0" collapsed="false">
      <c r="A24" s="5" t="n">
        <v>20</v>
      </c>
      <c r="B24" s="5" t="s">
        <v>593</v>
      </c>
      <c r="C24" s="5" t="s">
        <v>1450</v>
      </c>
      <c r="D24" s="5" t="s">
        <v>1451</v>
      </c>
      <c r="E24" s="5"/>
      <c r="F24" s="5" t="s">
        <v>1452</v>
      </c>
      <c r="G24" s="5" t="s">
        <v>1453</v>
      </c>
    </row>
    <row r="25" customFormat="false" ht="15" hidden="false" customHeight="true" outlineLevel="0" collapsed="false">
      <c r="A25" s="5" t="n">
        <v>21</v>
      </c>
      <c r="B25" s="5" t="s">
        <v>593</v>
      </c>
      <c r="C25" s="5" t="s">
        <v>1454</v>
      </c>
      <c r="D25" s="5" t="s">
        <v>138</v>
      </c>
      <c r="E25" s="5"/>
      <c r="F25" s="5"/>
      <c r="G25" s="5"/>
    </row>
    <row r="26" customFormat="false" ht="15" hidden="false" customHeight="true" outlineLevel="0" collapsed="false">
      <c r="A26" s="5" t="n">
        <v>22</v>
      </c>
      <c r="B26" s="5" t="s">
        <v>612</v>
      </c>
      <c r="C26" s="5" t="s">
        <v>1455</v>
      </c>
      <c r="D26" s="5" t="s">
        <v>1456</v>
      </c>
      <c r="E26" s="5"/>
      <c r="F26" s="5" t="s">
        <v>1457</v>
      </c>
      <c r="G26" s="5" t="s">
        <v>1458</v>
      </c>
    </row>
    <row r="27" customFormat="false" ht="15" hidden="false" customHeight="true" outlineLevel="0" collapsed="false">
      <c r="A27" s="5" t="n">
        <v>23</v>
      </c>
      <c r="B27" s="5" t="s">
        <v>612</v>
      </c>
      <c r="C27" s="5" t="s">
        <v>1459</v>
      </c>
      <c r="D27" s="5" t="s">
        <v>1460</v>
      </c>
      <c r="E27" s="5"/>
      <c r="F27" s="5"/>
      <c r="G27" s="5"/>
    </row>
    <row r="28" customFormat="false" ht="15" hidden="false" customHeight="true" outlineLevel="0" collapsed="false">
      <c r="A28" s="5" t="n">
        <v>24</v>
      </c>
      <c r="B28" s="5" t="s">
        <v>612</v>
      </c>
      <c r="C28" s="5" t="s">
        <v>1461</v>
      </c>
      <c r="D28" s="5" t="s">
        <v>1462</v>
      </c>
      <c r="E28" s="5"/>
      <c r="F28" s="5"/>
      <c r="G28" s="5"/>
    </row>
    <row r="29" customFormat="false" ht="15" hidden="false" customHeight="true" outlineLevel="0" collapsed="false">
      <c r="A29" s="5" t="n">
        <v>25</v>
      </c>
      <c r="B29" s="5" t="s">
        <v>612</v>
      </c>
      <c r="C29" s="5" t="s">
        <v>1463</v>
      </c>
      <c r="D29" s="5" t="s">
        <v>1464</v>
      </c>
      <c r="E29" s="5"/>
      <c r="F29" s="5"/>
      <c r="G29" s="5"/>
    </row>
    <row r="30" customFormat="false" ht="15" hidden="false" customHeight="true" outlineLevel="0" collapsed="false">
      <c r="A30" s="5" t="n">
        <v>26</v>
      </c>
      <c r="B30" s="5" t="s">
        <v>612</v>
      </c>
      <c r="C30" s="5" t="s">
        <v>1465</v>
      </c>
      <c r="D30" s="5" t="s">
        <v>1466</v>
      </c>
      <c r="E30" s="5"/>
      <c r="F30" s="5"/>
      <c r="G30" s="5"/>
    </row>
    <row r="31" customFormat="false" ht="15" hidden="false" customHeight="true" outlineLevel="0" collapsed="false">
      <c r="A31" s="5" t="n">
        <v>27</v>
      </c>
      <c r="B31" s="5" t="s">
        <v>634</v>
      </c>
      <c r="C31" s="5" t="s">
        <v>1417</v>
      </c>
      <c r="D31" s="5" t="s">
        <v>1418</v>
      </c>
      <c r="E31" s="5"/>
      <c r="F31" s="5" t="s">
        <v>1467</v>
      </c>
      <c r="G31" s="5" t="s">
        <v>1453</v>
      </c>
    </row>
    <row r="32" customFormat="false" ht="15" hidden="false" customHeight="true" outlineLevel="0" collapsed="false">
      <c r="A32" s="5" t="n">
        <v>28</v>
      </c>
      <c r="B32" s="5" t="s">
        <v>634</v>
      </c>
      <c r="C32" s="5" t="s">
        <v>1422</v>
      </c>
      <c r="D32" s="5" t="s">
        <v>1468</v>
      </c>
      <c r="E32" s="5"/>
      <c r="F32" s="5"/>
      <c r="G32" s="5"/>
    </row>
    <row r="33" customFormat="false" ht="15" hidden="false" customHeight="true" outlineLevel="0" collapsed="false">
      <c r="A33" s="5" t="n">
        <v>29</v>
      </c>
      <c r="B33" s="5" t="s">
        <v>645</v>
      </c>
      <c r="C33" s="5" t="s">
        <v>1469</v>
      </c>
      <c r="D33" s="5" t="s">
        <v>1470</v>
      </c>
      <c r="E33" s="5" t="s">
        <v>1471</v>
      </c>
      <c r="F33" s="5" t="s">
        <v>1472</v>
      </c>
      <c r="G33" s="5" t="s">
        <v>1453</v>
      </c>
    </row>
    <row r="34" customFormat="false" ht="15" hidden="false" customHeight="true" outlineLevel="0" collapsed="false">
      <c r="A34" s="5" t="n">
        <v>30</v>
      </c>
      <c r="B34" s="5" t="s">
        <v>645</v>
      </c>
      <c r="C34" s="5" t="s">
        <v>647</v>
      </c>
      <c r="D34" s="5" t="s">
        <v>1473</v>
      </c>
      <c r="E34" s="5" t="s">
        <v>233</v>
      </c>
      <c r="F34" s="5"/>
      <c r="G34" s="5"/>
    </row>
    <row r="35" customFormat="false" ht="15" hidden="false" customHeight="true" outlineLevel="0" collapsed="false">
      <c r="A35" s="5" t="n">
        <v>31</v>
      </c>
      <c r="B35" s="5" t="s">
        <v>645</v>
      </c>
      <c r="C35" s="5" t="s">
        <v>1474</v>
      </c>
      <c r="D35" s="5" t="s">
        <v>1475</v>
      </c>
      <c r="E35" s="5" t="s">
        <v>1476</v>
      </c>
      <c r="F35" s="5"/>
      <c r="G35" s="5"/>
    </row>
    <row r="36" customFormat="false" ht="15" hidden="false" customHeight="true" outlineLevel="0" collapsed="false">
      <c r="A36" s="5" t="n">
        <v>32</v>
      </c>
      <c r="B36" s="5" t="s">
        <v>672</v>
      </c>
      <c r="C36" s="5" t="s">
        <v>1477</v>
      </c>
      <c r="D36" s="5" t="s">
        <v>1478</v>
      </c>
      <c r="E36" s="5" t="s">
        <v>1479</v>
      </c>
      <c r="F36" s="5" t="s">
        <v>1480</v>
      </c>
      <c r="G36" s="5" t="s">
        <v>1453</v>
      </c>
    </row>
    <row r="37" customFormat="false" ht="15" hidden="false" customHeight="true" outlineLevel="0" collapsed="false">
      <c r="A37" s="5" t="n">
        <v>33</v>
      </c>
      <c r="B37" s="5" t="s">
        <v>672</v>
      </c>
      <c r="C37" s="5" t="s">
        <v>647</v>
      </c>
      <c r="D37" s="5" t="s">
        <v>1473</v>
      </c>
      <c r="E37" s="5"/>
      <c r="F37" s="5"/>
      <c r="G37" s="5"/>
    </row>
    <row r="38" customFormat="false" ht="15" hidden="false" customHeight="true" outlineLevel="0" collapsed="false">
      <c r="A38" s="5" t="n">
        <v>34</v>
      </c>
      <c r="B38" s="5" t="s">
        <v>672</v>
      </c>
      <c r="C38" s="5" t="s">
        <v>1481</v>
      </c>
      <c r="D38" s="5" t="s">
        <v>1482</v>
      </c>
      <c r="E38" s="5" t="s">
        <v>1483</v>
      </c>
      <c r="F38" s="5"/>
      <c r="G38" s="5"/>
    </row>
    <row r="39" customFormat="false" ht="15" hidden="false" customHeight="true" outlineLevel="0" collapsed="false">
      <c r="A39" s="5" t="n">
        <v>35</v>
      </c>
      <c r="B39" s="5" t="s">
        <v>113</v>
      </c>
      <c r="C39" s="5" t="s">
        <v>694</v>
      </c>
      <c r="D39" s="5" t="s">
        <v>1484</v>
      </c>
      <c r="E39" s="5" t="s">
        <v>1485</v>
      </c>
      <c r="F39" s="5" t="s">
        <v>1486</v>
      </c>
      <c r="G39" s="5" t="s">
        <v>1437</v>
      </c>
    </row>
    <row r="40" customFormat="false" ht="15" hidden="false" customHeight="true" outlineLevel="0" collapsed="false">
      <c r="A40" s="5" t="n">
        <v>36</v>
      </c>
      <c r="B40" s="5" t="s">
        <v>113</v>
      </c>
      <c r="C40" s="5" t="s">
        <v>1487</v>
      </c>
      <c r="D40" s="5" t="s">
        <v>1488</v>
      </c>
      <c r="E40" s="5" t="s">
        <v>1489</v>
      </c>
      <c r="F40" s="5"/>
      <c r="G40" s="5"/>
    </row>
    <row r="41" customFormat="false" ht="15" hidden="false" customHeight="true" outlineLevel="0" collapsed="false">
      <c r="A41" s="5" t="n">
        <v>37</v>
      </c>
      <c r="B41" s="5" t="s">
        <v>113</v>
      </c>
      <c r="C41" s="5" t="s">
        <v>747</v>
      </c>
      <c r="D41" s="5" t="s">
        <v>1490</v>
      </c>
      <c r="E41" s="5" t="s">
        <v>1491</v>
      </c>
      <c r="F41" s="5"/>
      <c r="G41" s="5"/>
    </row>
    <row r="42" customFormat="false" ht="15" hidden="false" customHeight="true" outlineLevel="0" collapsed="false">
      <c r="A42" s="5" t="n">
        <v>38</v>
      </c>
      <c r="B42" s="5" t="s">
        <v>113</v>
      </c>
      <c r="C42" s="5" t="s">
        <v>1492</v>
      </c>
      <c r="D42" s="5" t="s">
        <v>1493</v>
      </c>
      <c r="E42" s="5" t="s">
        <v>1489</v>
      </c>
      <c r="F42" s="5"/>
      <c r="G42" s="5"/>
    </row>
    <row r="43" customFormat="false" ht="15" hidden="false" customHeight="true" outlineLevel="0" collapsed="false">
      <c r="A43" s="5" t="n">
        <v>39</v>
      </c>
      <c r="B43" s="5" t="s">
        <v>113</v>
      </c>
      <c r="C43" s="5" t="s">
        <v>1494</v>
      </c>
      <c r="D43" s="5" t="s">
        <v>1495</v>
      </c>
      <c r="E43" s="5"/>
      <c r="F43" s="5"/>
      <c r="G43" s="5"/>
    </row>
    <row r="44" customFormat="false" ht="15" hidden="false" customHeight="true" outlineLevel="0" collapsed="false">
      <c r="A44" s="5" t="n">
        <v>40</v>
      </c>
      <c r="B44" s="5" t="s">
        <v>113</v>
      </c>
      <c r="C44" s="5" t="s">
        <v>1496</v>
      </c>
      <c r="D44" s="5" t="s">
        <v>1497</v>
      </c>
      <c r="E44" s="5" t="s">
        <v>1498</v>
      </c>
      <c r="F44" s="5"/>
      <c r="G44" s="5"/>
    </row>
    <row r="45" customFormat="false" ht="15" hidden="false" customHeight="true" outlineLevel="0" collapsed="false">
      <c r="A45" s="5" t="n">
        <v>41</v>
      </c>
      <c r="B45" s="5" t="s">
        <v>113</v>
      </c>
      <c r="C45" s="5" t="s">
        <v>1499</v>
      </c>
      <c r="D45" s="5" t="s">
        <v>1500</v>
      </c>
      <c r="E45" s="5"/>
      <c r="F45" s="5"/>
      <c r="G45" s="5"/>
    </row>
    <row r="46" customFormat="false" ht="15" hidden="false" customHeight="true" outlineLevel="0" collapsed="false">
      <c r="A46" s="5" t="n">
        <v>42</v>
      </c>
      <c r="B46" s="5" t="s">
        <v>711</v>
      </c>
      <c r="C46" s="5" t="s">
        <v>1501</v>
      </c>
      <c r="D46" s="5" t="s">
        <v>1502</v>
      </c>
      <c r="E46" s="5" t="s">
        <v>1503</v>
      </c>
      <c r="F46" s="5" t="s">
        <v>1504</v>
      </c>
      <c r="G46" s="5" t="s">
        <v>1505</v>
      </c>
    </row>
    <row r="47" customFormat="false" ht="15" hidden="false" customHeight="true" outlineLevel="0" collapsed="false">
      <c r="A47" s="5" t="n">
        <v>43</v>
      </c>
      <c r="B47" s="5" t="s">
        <v>711</v>
      </c>
      <c r="C47" s="5" t="s">
        <v>1506</v>
      </c>
      <c r="D47" s="5" t="s">
        <v>781</v>
      </c>
      <c r="E47" s="5" t="s">
        <v>1507</v>
      </c>
      <c r="F47" s="5"/>
      <c r="G47" s="5"/>
    </row>
    <row r="48" customFormat="false" ht="15" hidden="false" customHeight="true" outlineLevel="0" collapsed="false">
      <c r="A48" s="5" t="n">
        <v>44</v>
      </c>
      <c r="B48" s="5" t="s">
        <v>711</v>
      </c>
      <c r="C48" s="5" t="s">
        <v>1417</v>
      </c>
      <c r="D48" s="5" t="s">
        <v>1418</v>
      </c>
      <c r="E48" s="5"/>
      <c r="F48" s="5"/>
      <c r="G48" s="5"/>
    </row>
    <row r="49" customFormat="false" ht="15" hidden="false" customHeight="true" outlineLevel="0" collapsed="false">
      <c r="A49" s="5" t="n">
        <v>45</v>
      </c>
      <c r="B49" s="5" t="s">
        <v>711</v>
      </c>
      <c r="C49" s="5" t="s">
        <v>1422</v>
      </c>
      <c r="D49" s="5" t="s">
        <v>1468</v>
      </c>
      <c r="E49" s="5"/>
      <c r="F49" s="5"/>
      <c r="G49" s="5"/>
    </row>
    <row r="50" customFormat="false" ht="15" hidden="false" customHeight="true" outlineLevel="0" collapsed="false">
      <c r="A50" s="5" t="n">
        <v>46</v>
      </c>
      <c r="B50" s="5" t="s">
        <v>711</v>
      </c>
      <c r="C50" s="5" t="s">
        <v>1508</v>
      </c>
      <c r="D50" s="5" t="s">
        <v>1509</v>
      </c>
      <c r="E50" s="5"/>
      <c r="F50" s="5"/>
      <c r="G50" s="5"/>
    </row>
    <row r="51" customFormat="false" ht="15" hidden="false" customHeight="true" outlineLevel="0" collapsed="false">
      <c r="A51" s="5" t="n">
        <v>47</v>
      </c>
      <c r="B51" s="5" t="s">
        <v>711</v>
      </c>
      <c r="C51" s="5" t="s">
        <v>1510</v>
      </c>
      <c r="D51" s="5" t="s">
        <v>1511</v>
      </c>
      <c r="E51" s="5" t="s">
        <v>1512</v>
      </c>
      <c r="F51" s="5"/>
      <c r="G51" s="5"/>
    </row>
    <row r="52" customFormat="false" ht="15" hidden="false" customHeight="true" outlineLevel="0" collapsed="false">
      <c r="A52" s="5" t="n">
        <v>48</v>
      </c>
      <c r="B52" s="5" t="s">
        <v>711</v>
      </c>
      <c r="C52" s="5" t="s">
        <v>1513</v>
      </c>
      <c r="D52" s="5" t="s">
        <v>1514</v>
      </c>
      <c r="E52" s="5" t="s">
        <v>1515</v>
      </c>
      <c r="F52" s="5"/>
      <c r="G52" s="5"/>
    </row>
    <row r="53" customFormat="false" ht="15" hidden="false" customHeight="true" outlineLevel="0" collapsed="false">
      <c r="A53" s="5" t="n">
        <v>49</v>
      </c>
      <c r="B53" s="5" t="s">
        <v>711</v>
      </c>
      <c r="C53" s="5" t="s">
        <v>1516</v>
      </c>
      <c r="D53" s="5" t="s">
        <v>1517</v>
      </c>
      <c r="E53" s="5" t="s">
        <v>1518</v>
      </c>
      <c r="F53" s="5"/>
      <c r="G53" s="5"/>
    </row>
    <row r="54" customFormat="false" ht="15" hidden="false" customHeight="true" outlineLevel="0" collapsed="false">
      <c r="A54" s="5" t="n">
        <v>50</v>
      </c>
      <c r="B54" s="5" t="s">
        <v>127</v>
      </c>
      <c r="C54" s="5" t="s">
        <v>747</v>
      </c>
      <c r="D54" s="5" t="s">
        <v>1490</v>
      </c>
      <c r="E54" s="5"/>
      <c r="F54" s="5" t="s">
        <v>1519</v>
      </c>
      <c r="G54" s="5" t="s">
        <v>1520</v>
      </c>
    </row>
    <row r="55" customFormat="false" ht="15" hidden="false" customHeight="true" outlineLevel="0" collapsed="false">
      <c r="A55" s="5" t="n">
        <v>51</v>
      </c>
      <c r="B55" s="5" t="s">
        <v>127</v>
      </c>
      <c r="C55" s="5" t="s">
        <v>1521</v>
      </c>
      <c r="D55" s="5" t="s">
        <v>1522</v>
      </c>
      <c r="E55" s="5"/>
      <c r="F55" s="5"/>
      <c r="G55" s="5"/>
    </row>
    <row r="56" customFormat="false" ht="15" hidden="false" customHeight="true" outlineLevel="0" collapsed="false">
      <c r="A56" s="5" t="n">
        <v>52</v>
      </c>
      <c r="B56" s="5" t="s">
        <v>127</v>
      </c>
      <c r="C56" s="5" t="s">
        <v>1523</v>
      </c>
      <c r="D56" s="5" t="s">
        <v>1524</v>
      </c>
      <c r="E56" s="5"/>
      <c r="F56" s="5"/>
      <c r="G56" s="5"/>
    </row>
    <row r="57" customFormat="false" ht="15" hidden="false" customHeight="true" outlineLevel="0" collapsed="false">
      <c r="A57" s="5" t="n">
        <v>53</v>
      </c>
      <c r="B57" s="5" t="s">
        <v>769</v>
      </c>
      <c r="C57" s="5" t="s">
        <v>1525</v>
      </c>
      <c r="D57" s="5" t="s">
        <v>1526</v>
      </c>
      <c r="E57" s="5"/>
      <c r="F57" s="5" t="s">
        <v>1527</v>
      </c>
      <c r="G57" s="5" t="s">
        <v>1528</v>
      </c>
    </row>
    <row r="58" customFormat="false" ht="15" hidden="false" customHeight="true" outlineLevel="0" collapsed="false">
      <c r="A58" s="5" t="n">
        <v>54</v>
      </c>
      <c r="B58" s="5" t="s">
        <v>769</v>
      </c>
      <c r="C58" s="5" t="s">
        <v>1529</v>
      </c>
      <c r="D58" s="5" t="s">
        <v>1530</v>
      </c>
      <c r="E58" s="5"/>
      <c r="F58" s="5"/>
      <c r="G58" s="5"/>
    </row>
    <row r="59" customFormat="false" ht="15" hidden="false" customHeight="true" outlineLevel="0" collapsed="false">
      <c r="A59" s="5" t="n">
        <v>55</v>
      </c>
      <c r="B59" s="5" t="s">
        <v>133</v>
      </c>
      <c r="C59" s="5" t="s">
        <v>772</v>
      </c>
      <c r="D59" s="5" t="s">
        <v>1438</v>
      </c>
      <c r="E59" s="5"/>
      <c r="F59" s="5" t="s">
        <v>1531</v>
      </c>
      <c r="G59" s="5" t="s">
        <v>1532</v>
      </c>
    </row>
    <row r="60" customFormat="false" ht="15" hidden="false" customHeight="true" outlineLevel="0" collapsed="false">
      <c r="A60" s="5" t="n">
        <v>56</v>
      </c>
      <c r="B60" s="5" t="s">
        <v>133</v>
      </c>
      <c r="C60" s="5" t="s">
        <v>1499</v>
      </c>
      <c r="D60" s="5" t="s">
        <v>1500</v>
      </c>
      <c r="E60" s="5" t="s">
        <v>1533</v>
      </c>
      <c r="F60" s="5"/>
      <c r="G60" s="5"/>
    </row>
    <row r="61" customFormat="false" ht="15" hidden="false" customHeight="true" outlineLevel="0" collapsed="false">
      <c r="A61" s="5" t="n">
        <v>57</v>
      </c>
      <c r="B61" s="5" t="s">
        <v>141</v>
      </c>
      <c r="C61" s="5" t="s">
        <v>694</v>
      </c>
      <c r="D61" s="5" t="s">
        <v>1484</v>
      </c>
      <c r="E61" s="5" t="s">
        <v>1534</v>
      </c>
      <c r="F61" s="5" t="s">
        <v>1535</v>
      </c>
      <c r="G61" s="5" t="s">
        <v>1437</v>
      </c>
    </row>
    <row r="62" customFormat="false" ht="15" hidden="false" customHeight="true" outlineLevel="0" collapsed="false">
      <c r="A62" s="5" t="n">
        <v>58</v>
      </c>
      <c r="B62" s="5" t="s">
        <v>141</v>
      </c>
      <c r="C62" s="5" t="s">
        <v>1536</v>
      </c>
      <c r="D62" s="5" t="s">
        <v>1537</v>
      </c>
      <c r="E62" s="5" t="s">
        <v>1538</v>
      </c>
      <c r="F62" s="5"/>
      <c r="G62" s="5"/>
    </row>
    <row r="63" customFormat="false" ht="15" hidden="false" customHeight="true" outlineLevel="0" collapsed="false">
      <c r="A63" s="5" t="n">
        <v>59</v>
      </c>
      <c r="B63" s="5" t="s">
        <v>141</v>
      </c>
      <c r="C63" s="5" t="s">
        <v>1539</v>
      </c>
      <c r="D63" s="5" t="s">
        <v>1540</v>
      </c>
      <c r="E63" s="5" t="s">
        <v>1541</v>
      </c>
      <c r="F63" s="5"/>
      <c r="G63" s="5"/>
    </row>
    <row r="64" customFormat="false" ht="15" hidden="false" customHeight="true" outlineLevel="0" collapsed="false">
      <c r="A64" s="5" t="n">
        <v>60</v>
      </c>
      <c r="B64" s="5" t="s">
        <v>141</v>
      </c>
      <c r="C64" s="5" t="s">
        <v>1542</v>
      </c>
      <c r="D64" s="5" t="s">
        <v>1543</v>
      </c>
      <c r="E64" s="5" t="s">
        <v>1544</v>
      </c>
      <c r="F64" s="5"/>
      <c r="G64" s="5"/>
    </row>
    <row r="65" customFormat="false" ht="15" hidden="false" customHeight="true" outlineLevel="0" collapsed="false">
      <c r="A65" s="5" t="n">
        <v>61</v>
      </c>
      <c r="B65" s="5" t="s">
        <v>141</v>
      </c>
      <c r="C65" s="5" t="s">
        <v>1545</v>
      </c>
      <c r="D65" s="5" t="s">
        <v>1546</v>
      </c>
      <c r="E65" s="5" t="s">
        <v>1547</v>
      </c>
      <c r="F65" s="5"/>
      <c r="G65" s="5"/>
    </row>
    <row r="66" customFormat="false" ht="15" hidden="false" customHeight="true" outlineLevel="0" collapsed="false">
      <c r="A66" s="5" t="n">
        <v>62</v>
      </c>
      <c r="B66" s="5" t="s">
        <v>809</v>
      </c>
      <c r="C66" s="5" t="s">
        <v>1506</v>
      </c>
      <c r="D66" s="5" t="s">
        <v>1548</v>
      </c>
      <c r="E66" s="5" t="s">
        <v>1549</v>
      </c>
      <c r="F66" s="5" t="s">
        <v>1550</v>
      </c>
      <c r="G66" s="5" t="s">
        <v>1551</v>
      </c>
    </row>
    <row r="67" customFormat="false" ht="15" hidden="false" customHeight="true" outlineLevel="0" collapsed="false">
      <c r="A67" s="5" t="n">
        <v>63</v>
      </c>
      <c r="B67" s="5" t="s">
        <v>809</v>
      </c>
      <c r="C67" s="5" t="s">
        <v>1552</v>
      </c>
      <c r="D67" s="5" t="s">
        <v>1553</v>
      </c>
      <c r="E67" s="5" t="s">
        <v>1549</v>
      </c>
      <c r="F67" s="5"/>
      <c r="G67" s="5"/>
    </row>
    <row r="68" customFormat="false" ht="15" hidden="false" customHeight="true" outlineLevel="0" collapsed="false">
      <c r="A68" s="5" t="n">
        <v>64</v>
      </c>
      <c r="B68" s="5" t="s">
        <v>809</v>
      </c>
      <c r="C68" s="5" t="s">
        <v>1417</v>
      </c>
      <c r="D68" s="5" t="s">
        <v>1554</v>
      </c>
      <c r="E68" s="5" t="s">
        <v>1555</v>
      </c>
      <c r="F68" s="5"/>
      <c r="G68" s="5"/>
    </row>
    <row r="69" customFormat="false" ht="15" hidden="false" customHeight="true" outlineLevel="0" collapsed="false">
      <c r="A69" s="5" t="n">
        <v>65</v>
      </c>
      <c r="B69" s="5" t="s">
        <v>809</v>
      </c>
      <c r="C69" s="5" t="s">
        <v>1422</v>
      </c>
      <c r="D69" s="5" t="s">
        <v>1556</v>
      </c>
      <c r="E69" s="5" t="s">
        <v>1555</v>
      </c>
      <c r="F69" s="5"/>
      <c r="G69" s="5"/>
    </row>
    <row r="70" customFormat="false" ht="15" hidden="false" customHeight="true" outlineLevel="0" collapsed="false">
      <c r="A70" s="5" t="n">
        <v>66</v>
      </c>
      <c r="B70" s="5" t="s">
        <v>809</v>
      </c>
      <c r="C70" s="5" t="s">
        <v>1508</v>
      </c>
      <c r="D70" s="5" t="s">
        <v>1557</v>
      </c>
      <c r="E70" s="5" t="s">
        <v>1555</v>
      </c>
      <c r="F70" s="5"/>
      <c r="G70" s="5"/>
    </row>
    <row r="71" customFormat="false" ht="15" hidden="false" customHeight="true" outlineLevel="0" collapsed="false">
      <c r="A71" s="5" t="n">
        <v>67</v>
      </c>
      <c r="B71" s="5" t="s">
        <v>809</v>
      </c>
      <c r="C71" s="5" t="s">
        <v>1558</v>
      </c>
      <c r="D71" s="5" t="s">
        <v>1559</v>
      </c>
      <c r="E71" s="5" t="s">
        <v>1555</v>
      </c>
      <c r="F71" s="5"/>
      <c r="G71" s="5"/>
    </row>
    <row r="72" customFormat="false" ht="15" hidden="false" customHeight="true" outlineLevel="0" collapsed="false">
      <c r="A72" s="5" t="n">
        <v>68</v>
      </c>
      <c r="B72" s="5" t="s">
        <v>809</v>
      </c>
      <c r="C72" s="5" t="s">
        <v>1560</v>
      </c>
      <c r="D72" s="5" t="s">
        <v>1561</v>
      </c>
      <c r="E72" s="5" t="s">
        <v>1555</v>
      </c>
      <c r="F72" s="5"/>
      <c r="G72" s="5"/>
    </row>
    <row r="73" customFormat="false" ht="15" hidden="false" customHeight="true" outlineLevel="0" collapsed="false">
      <c r="A73" s="5" t="n">
        <v>69</v>
      </c>
      <c r="B73" s="5" t="s">
        <v>809</v>
      </c>
      <c r="C73" s="5" t="s">
        <v>1562</v>
      </c>
      <c r="D73" s="5" t="s">
        <v>1563</v>
      </c>
      <c r="E73" s="5" t="s">
        <v>1555</v>
      </c>
      <c r="F73" s="5"/>
      <c r="G73" s="5"/>
    </row>
    <row r="74" customFormat="false" ht="15" hidden="false" customHeight="true" outlineLevel="0" collapsed="false">
      <c r="A74" s="5" t="n">
        <v>70</v>
      </c>
      <c r="B74" s="5" t="s">
        <v>809</v>
      </c>
      <c r="C74" s="5" t="s">
        <v>1564</v>
      </c>
      <c r="D74" s="5" t="s">
        <v>1565</v>
      </c>
      <c r="E74" s="5" t="s">
        <v>1555</v>
      </c>
      <c r="F74" s="5"/>
      <c r="G74" s="5"/>
    </row>
    <row r="75" customFormat="false" ht="15" hidden="false" customHeight="true" outlineLevel="0" collapsed="false">
      <c r="A75" s="5" t="n">
        <v>71</v>
      </c>
      <c r="B75" s="5" t="s">
        <v>830</v>
      </c>
      <c r="C75" s="5" t="s">
        <v>1417</v>
      </c>
      <c r="D75" s="5" t="s">
        <v>1418</v>
      </c>
      <c r="E75" s="5"/>
      <c r="F75" s="5" t="s">
        <v>1566</v>
      </c>
      <c r="G75" s="5" t="s">
        <v>1567</v>
      </c>
    </row>
    <row r="76" customFormat="false" ht="15" hidden="false" customHeight="true" outlineLevel="0" collapsed="false">
      <c r="A76" s="5" t="n">
        <v>72</v>
      </c>
      <c r="B76" s="5" t="s">
        <v>830</v>
      </c>
      <c r="C76" s="5" t="s">
        <v>1422</v>
      </c>
      <c r="D76" s="5" t="s">
        <v>1468</v>
      </c>
      <c r="E76" s="5"/>
      <c r="F76" s="5"/>
      <c r="G76" s="5"/>
    </row>
    <row r="77" customFormat="false" ht="15" hidden="false" customHeight="true" outlineLevel="0" collapsed="false">
      <c r="A77" s="5" t="n">
        <v>73</v>
      </c>
      <c r="B77" s="5" t="s">
        <v>830</v>
      </c>
      <c r="C77" s="5" t="s">
        <v>1568</v>
      </c>
      <c r="D77" s="5" t="s">
        <v>1569</v>
      </c>
      <c r="E77" s="5"/>
      <c r="F77" s="5"/>
      <c r="G77" s="5"/>
    </row>
    <row r="78" customFormat="false" ht="15" hidden="false" customHeight="true" outlineLevel="0" collapsed="false">
      <c r="A78" s="5" t="n">
        <v>74</v>
      </c>
      <c r="B78" s="5" t="s">
        <v>830</v>
      </c>
      <c r="C78" s="5" t="s">
        <v>1570</v>
      </c>
      <c r="D78" s="5" t="s">
        <v>1571</v>
      </c>
      <c r="E78" s="5"/>
      <c r="F78" s="5"/>
      <c r="G78" s="5"/>
    </row>
    <row r="79" customFormat="false" ht="15" hidden="false" customHeight="true" outlineLevel="0" collapsed="false">
      <c r="A79" s="5" t="n">
        <v>75</v>
      </c>
      <c r="B79" s="5" t="s">
        <v>830</v>
      </c>
      <c r="C79" s="5" t="s">
        <v>1564</v>
      </c>
      <c r="D79" s="5" t="s">
        <v>1572</v>
      </c>
      <c r="E79" s="5" t="s">
        <v>1573</v>
      </c>
      <c r="F79" s="5"/>
      <c r="G79" s="5"/>
    </row>
    <row r="80" customFormat="false" ht="15" hidden="false" customHeight="true" outlineLevel="0" collapsed="false">
      <c r="A80" s="5" t="n">
        <v>76</v>
      </c>
      <c r="B80" s="5" t="s">
        <v>157</v>
      </c>
      <c r="C80" s="5" t="s">
        <v>852</v>
      </c>
      <c r="D80" s="5" t="s">
        <v>1574</v>
      </c>
      <c r="E80" s="5"/>
      <c r="F80" s="5" t="s">
        <v>1575</v>
      </c>
      <c r="G80" s="5" t="s">
        <v>1411</v>
      </c>
    </row>
    <row r="81" customFormat="false" ht="15" hidden="false" customHeight="true" outlineLevel="0" collapsed="false">
      <c r="A81" s="5" t="n">
        <v>77</v>
      </c>
      <c r="B81" s="5" t="s">
        <v>157</v>
      </c>
      <c r="C81" s="5" t="s">
        <v>1576</v>
      </c>
      <c r="D81" s="5" t="s">
        <v>1577</v>
      </c>
      <c r="E81" s="5"/>
      <c r="F81" s="5"/>
      <c r="G81" s="5"/>
    </row>
    <row r="82" customFormat="false" ht="15" hidden="false" customHeight="true" outlineLevel="0" collapsed="false">
      <c r="A82" s="5" t="n">
        <v>78</v>
      </c>
      <c r="B82" s="5" t="s">
        <v>157</v>
      </c>
      <c r="C82" s="5" t="s">
        <v>1578</v>
      </c>
      <c r="D82" s="5" t="s">
        <v>1579</v>
      </c>
      <c r="E82" s="5"/>
      <c r="F82" s="5"/>
      <c r="G82" s="5"/>
    </row>
    <row r="83" customFormat="false" ht="15" hidden="false" customHeight="true" outlineLevel="0" collapsed="false">
      <c r="A83" s="5" t="n">
        <v>79</v>
      </c>
      <c r="B83" s="5" t="s">
        <v>157</v>
      </c>
      <c r="C83" s="5" t="s">
        <v>1523</v>
      </c>
      <c r="D83" s="5" t="s">
        <v>1524</v>
      </c>
      <c r="E83" s="5"/>
      <c r="F83" s="5"/>
      <c r="G83" s="5"/>
    </row>
    <row r="84" customFormat="false" ht="15" hidden="false" customHeight="true" outlineLevel="0" collapsed="false">
      <c r="A84" s="5" t="n">
        <v>80</v>
      </c>
      <c r="B84" s="5" t="s">
        <v>157</v>
      </c>
      <c r="C84" s="5" t="s">
        <v>1580</v>
      </c>
      <c r="D84" s="5" t="s">
        <v>1581</v>
      </c>
      <c r="E84" s="5"/>
      <c r="F84" s="5"/>
      <c r="G84" s="5"/>
    </row>
    <row r="85" customFormat="false" ht="15" hidden="false" customHeight="true" outlineLevel="0" collapsed="false">
      <c r="A85" s="5" t="n">
        <v>81</v>
      </c>
      <c r="B85" s="5" t="s">
        <v>435</v>
      </c>
      <c r="C85" s="5" t="s">
        <v>1582</v>
      </c>
      <c r="D85" s="5" t="s">
        <v>1583</v>
      </c>
      <c r="E85" s="5" t="s">
        <v>1584</v>
      </c>
      <c r="F85" s="5" t="s">
        <v>1585</v>
      </c>
      <c r="G85" s="5" t="s">
        <v>1586</v>
      </c>
    </row>
    <row r="86" customFormat="false" ht="15" hidden="false" customHeight="true" outlineLevel="0" collapsed="false">
      <c r="A86" s="5" t="n">
        <v>82</v>
      </c>
      <c r="B86" s="5" t="s">
        <v>435</v>
      </c>
      <c r="C86" s="5" t="s">
        <v>1587</v>
      </c>
      <c r="D86" s="5" t="s">
        <v>1588</v>
      </c>
      <c r="E86" s="5" t="s">
        <v>1589</v>
      </c>
      <c r="F86" s="5"/>
      <c r="G86" s="5"/>
    </row>
    <row r="87" customFormat="false" ht="15" hidden="false" customHeight="true" outlineLevel="0" collapsed="false">
      <c r="A87" s="5" t="n">
        <v>83</v>
      </c>
      <c r="B87" s="5" t="s">
        <v>435</v>
      </c>
      <c r="C87" s="5" t="s">
        <v>1590</v>
      </c>
      <c r="D87" s="5" t="s">
        <v>1591</v>
      </c>
      <c r="E87" s="5" t="s">
        <v>1592</v>
      </c>
      <c r="F87" s="5"/>
      <c r="G87" s="5"/>
    </row>
    <row r="88" customFormat="false" ht="15" hidden="false" customHeight="true" outlineLevel="0" collapsed="false">
      <c r="A88" s="5" t="n">
        <v>84</v>
      </c>
      <c r="B88" s="5" t="s">
        <v>435</v>
      </c>
      <c r="C88" s="5" t="s">
        <v>1593</v>
      </c>
      <c r="D88" s="5" t="s">
        <v>1491</v>
      </c>
      <c r="E88" s="5" t="s">
        <v>1594</v>
      </c>
      <c r="F88" s="5"/>
      <c r="G88" s="5"/>
    </row>
    <row r="89" customFormat="false" ht="15" hidden="false" customHeight="true" outlineLevel="0" collapsed="false">
      <c r="A89" s="5" t="n">
        <v>85</v>
      </c>
      <c r="B89" s="5" t="s">
        <v>435</v>
      </c>
      <c r="C89" s="5" t="s">
        <v>1595</v>
      </c>
      <c r="D89" s="5" t="s">
        <v>1596</v>
      </c>
      <c r="E89" s="5" t="s">
        <v>1597</v>
      </c>
      <c r="F89" s="5"/>
      <c r="G89" s="5"/>
    </row>
    <row r="90" customFormat="false" ht="15" hidden="false" customHeight="true" outlineLevel="0" collapsed="false">
      <c r="A90" s="5" t="n">
        <v>86</v>
      </c>
      <c r="B90" s="5" t="s">
        <v>435</v>
      </c>
      <c r="C90" s="5" t="s">
        <v>1598</v>
      </c>
      <c r="D90" s="5" t="s">
        <v>1599</v>
      </c>
      <c r="E90" s="5" t="s">
        <v>1600</v>
      </c>
      <c r="F90" s="5"/>
      <c r="G90" s="5"/>
    </row>
    <row r="91" customFormat="false" ht="15" hidden="false" customHeight="true" outlineLevel="0" collapsed="false">
      <c r="A91" s="5" t="n">
        <v>87</v>
      </c>
      <c r="B91" s="5" t="s">
        <v>435</v>
      </c>
      <c r="C91" s="5" t="s">
        <v>1601</v>
      </c>
      <c r="D91" s="5" t="s">
        <v>1602</v>
      </c>
      <c r="E91" s="5" t="s">
        <v>1603</v>
      </c>
      <c r="F91" s="5"/>
      <c r="G91" s="5"/>
    </row>
    <row r="92" customFormat="false" ht="15" hidden="false" customHeight="true" outlineLevel="0" collapsed="false">
      <c r="A92" s="5" t="n">
        <v>88</v>
      </c>
      <c r="B92" s="5" t="s">
        <v>435</v>
      </c>
      <c r="C92" s="5" t="s">
        <v>1604</v>
      </c>
      <c r="D92" s="5" t="s">
        <v>1605</v>
      </c>
      <c r="E92" s="5" t="s">
        <v>1594</v>
      </c>
      <c r="F92" s="5"/>
      <c r="G92" s="5"/>
    </row>
    <row r="93" customFormat="false" ht="15" hidden="false" customHeight="true" outlineLevel="0" collapsed="false">
      <c r="A93" s="5" t="n">
        <v>89</v>
      </c>
      <c r="B93" s="5" t="s">
        <v>435</v>
      </c>
      <c r="C93" s="5" t="s">
        <v>1606</v>
      </c>
      <c r="D93" s="5" t="s">
        <v>1607</v>
      </c>
      <c r="E93" s="5" t="s">
        <v>1597</v>
      </c>
      <c r="F93" s="5"/>
      <c r="G93" s="5"/>
    </row>
    <row r="94" customFormat="false" ht="15" hidden="false" customHeight="true" outlineLevel="0" collapsed="false">
      <c r="A94" s="5" t="n">
        <v>90</v>
      </c>
      <c r="B94" s="5" t="s">
        <v>435</v>
      </c>
      <c r="C94" s="5" t="s">
        <v>1608</v>
      </c>
      <c r="D94" s="5" t="s">
        <v>1609</v>
      </c>
      <c r="E94" s="5" t="s">
        <v>1594</v>
      </c>
      <c r="F94" s="5"/>
      <c r="G94" s="5"/>
    </row>
    <row r="95" customFormat="false" ht="15" hidden="false" customHeight="true" outlineLevel="0" collapsed="false">
      <c r="A95" s="5" t="n">
        <v>91</v>
      </c>
      <c r="B95" s="5" t="s">
        <v>435</v>
      </c>
      <c r="C95" s="5" t="s">
        <v>1442</v>
      </c>
      <c r="D95" s="5" t="s">
        <v>1610</v>
      </c>
      <c r="E95" s="5" t="s">
        <v>1594</v>
      </c>
      <c r="F95" s="5"/>
      <c r="G95" s="5"/>
    </row>
    <row r="96" customFormat="false" ht="15" hidden="false" customHeight="true" outlineLevel="0" collapsed="false">
      <c r="A96" s="5" t="n">
        <v>92</v>
      </c>
      <c r="B96" s="5" t="s">
        <v>435</v>
      </c>
      <c r="C96" s="5" t="s">
        <v>1611</v>
      </c>
      <c r="D96" s="5" t="s">
        <v>1612</v>
      </c>
      <c r="E96" s="5" t="s">
        <v>1597</v>
      </c>
      <c r="F96" s="5"/>
      <c r="G96" s="5"/>
    </row>
    <row r="97" customFormat="false" ht="15" hidden="false" customHeight="true" outlineLevel="0" collapsed="false">
      <c r="A97" s="5" t="n">
        <v>93</v>
      </c>
      <c r="B97" s="5" t="s">
        <v>435</v>
      </c>
      <c r="C97" s="5" t="s">
        <v>1613</v>
      </c>
      <c r="D97" s="5" t="s">
        <v>1614</v>
      </c>
      <c r="E97" s="5" t="s">
        <v>1594</v>
      </c>
      <c r="F97" s="5"/>
      <c r="G97" s="5"/>
    </row>
    <row r="98" customFormat="false" ht="15" hidden="false" customHeight="true" outlineLevel="0" collapsed="false">
      <c r="A98" s="5" t="n">
        <v>94</v>
      </c>
      <c r="B98" s="5" t="s">
        <v>435</v>
      </c>
      <c r="C98" s="5" t="s">
        <v>1615</v>
      </c>
      <c r="D98" s="5" t="s">
        <v>1616</v>
      </c>
      <c r="E98" s="5" t="s">
        <v>1617</v>
      </c>
      <c r="F98" s="5"/>
      <c r="G98" s="5"/>
    </row>
    <row r="99" customFormat="false" ht="15" hidden="false" customHeight="true" outlineLevel="0" collapsed="false">
      <c r="A99" s="5" t="n">
        <v>95</v>
      </c>
      <c r="B99" s="5" t="s">
        <v>442</v>
      </c>
      <c r="C99" s="5" t="s">
        <v>444</v>
      </c>
      <c r="D99" s="5" t="s">
        <v>1618</v>
      </c>
      <c r="E99" s="5" t="s">
        <v>1619</v>
      </c>
      <c r="F99" s="5" t="s">
        <v>1620</v>
      </c>
      <c r="G99" s="5" t="s">
        <v>1453</v>
      </c>
    </row>
    <row r="100" customFormat="false" ht="15" hidden="false" customHeight="true" outlineLevel="0" collapsed="false">
      <c r="A100" s="5" t="n">
        <v>96</v>
      </c>
      <c r="B100" s="5" t="s">
        <v>442</v>
      </c>
      <c r="C100" s="5" t="s">
        <v>1394</v>
      </c>
      <c r="D100" s="5" t="s">
        <v>1621</v>
      </c>
      <c r="E100" s="5"/>
      <c r="F100" s="5"/>
      <c r="G100" s="5"/>
    </row>
    <row r="101" customFormat="false" ht="15" hidden="false" customHeight="true" outlineLevel="0" collapsed="false">
      <c r="A101" s="5" t="n">
        <v>97</v>
      </c>
      <c r="B101" s="5" t="s">
        <v>447</v>
      </c>
      <c r="C101" s="5" t="s">
        <v>449</v>
      </c>
      <c r="D101" s="5" t="s">
        <v>1622</v>
      </c>
      <c r="E101" s="5" t="s">
        <v>1623</v>
      </c>
      <c r="F101" s="5" t="s">
        <v>1624</v>
      </c>
      <c r="G101" s="5" t="s">
        <v>1453</v>
      </c>
    </row>
    <row r="102" customFormat="false" ht="15" hidden="false" customHeight="true" outlineLevel="0" collapsed="false">
      <c r="A102" s="5" t="n">
        <v>98</v>
      </c>
      <c r="B102" s="5" t="s">
        <v>447</v>
      </c>
      <c r="C102" s="5" t="s">
        <v>1625</v>
      </c>
      <c r="D102" s="5" t="s">
        <v>1626</v>
      </c>
      <c r="E102" s="5" t="s">
        <v>1627</v>
      </c>
      <c r="F102" s="5"/>
      <c r="G102" s="5"/>
    </row>
  </sheetData>
  <autoFilter ref="A4:G1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14" activePane="bottomRight" state="frozen"/>
      <selection pane="topLeft" activeCell="A1" activeCellId="0" sqref="A1"/>
      <selection pane="topRight" activeCell="C1" activeCellId="0" sqref="C1"/>
      <selection pane="bottomLeft" activeCell="A14" activeCellId="0" sqref="A14"/>
      <selection pane="bottomRight" activeCell="H14" activeCellId="0" sqref="H14"/>
    </sheetView>
  </sheetViews>
  <sheetFormatPr defaultColWidth="8.66796875" defaultRowHeight="14.25" zeroHeight="false" outlineLevelRow="0" outlineLevelCol="0"/>
  <cols>
    <col collapsed="false" customWidth="true" hidden="false" outlineLevel="0" max="1" min="1" style="1" width="7"/>
    <col collapsed="false" customWidth="true" hidden="false" outlineLevel="0" max="2" min="2" style="1" width="18"/>
    <col collapsed="false" customWidth="true" hidden="false" outlineLevel="0" max="3" min="3" style="1" width="10"/>
    <col collapsed="false" customWidth="true" hidden="false" outlineLevel="0" max="4" min="4" style="1" width="20"/>
    <col collapsed="false" customWidth="true" hidden="false" outlineLevel="0" max="5" min="5" style="1" width="10"/>
    <col collapsed="false" customWidth="true" hidden="false" outlineLevel="0" max="6" min="6" style="1" width="14"/>
    <col collapsed="false" customWidth="true" hidden="false" outlineLevel="0" max="7" min="7" style="1" width="50"/>
    <col collapsed="false" customWidth="true" hidden="false" outlineLevel="0" max="8" min="8" style="1" width="34"/>
  </cols>
  <sheetData>
    <row r="1" customFormat="false" ht="17.25" hidden="false" customHeight="true" outlineLevel="0" collapsed="false">
      <c r="A1" s="2" t="s">
        <v>1628</v>
      </c>
    </row>
    <row r="2" customFormat="false" ht="15" hidden="false" customHeight="true" outlineLevel="0" collapsed="false">
      <c r="A2" s="3" t="s">
        <v>1629</v>
      </c>
    </row>
    <row r="4" customFormat="false" ht="31.5" hidden="false" customHeight="true" outlineLevel="0" collapsed="false">
      <c r="A4" s="4" t="s">
        <v>1630</v>
      </c>
      <c r="B4" s="4" t="s">
        <v>1631</v>
      </c>
      <c r="C4" s="4" t="s">
        <v>1632</v>
      </c>
      <c r="D4" s="4" t="s">
        <v>1633</v>
      </c>
      <c r="E4" s="4" t="s">
        <v>1634</v>
      </c>
      <c r="F4" s="4" t="s">
        <v>1635</v>
      </c>
      <c r="G4" s="4" t="s">
        <v>7</v>
      </c>
      <c r="H4" s="4" t="s">
        <v>1636</v>
      </c>
    </row>
    <row r="5" customFormat="false" ht="15" hidden="false" customHeight="true" outlineLevel="0" collapsed="false">
      <c r="A5" s="5" t="s">
        <v>1637</v>
      </c>
      <c r="B5" s="5" t="s">
        <v>15</v>
      </c>
      <c r="C5" s="5" t="s">
        <v>325</v>
      </c>
      <c r="D5" s="5" t="s">
        <v>24</v>
      </c>
      <c r="E5" s="5" t="s">
        <v>1638</v>
      </c>
      <c r="F5" s="5" t="s">
        <v>1639</v>
      </c>
      <c r="G5" s="5" t="s">
        <v>1640</v>
      </c>
      <c r="H5" s="5" t="s">
        <v>1641</v>
      </c>
    </row>
    <row r="6" customFormat="false" ht="15" hidden="false" customHeight="true" outlineLevel="0" collapsed="false">
      <c r="A6" s="5" t="s">
        <v>1642</v>
      </c>
      <c r="B6" s="5" t="s">
        <v>15</v>
      </c>
      <c r="C6" s="5" t="s">
        <v>325</v>
      </c>
      <c r="D6" s="5" t="s">
        <v>36</v>
      </c>
      <c r="E6" s="5" t="s">
        <v>1638</v>
      </c>
      <c r="F6" s="5" t="s">
        <v>1643</v>
      </c>
      <c r="G6" s="5" t="s">
        <v>1644</v>
      </c>
      <c r="H6" s="5" t="s">
        <v>1645</v>
      </c>
    </row>
    <row r="7" customFormat="false" ht="15" hidden="false" customHeight="true" outlineLevel="0" collapsed="false">
      <c r="A7" s="5" t="s">
        <v>1646</v>
      </c>
      <c r="B7" s="5" t="s">
        <v>24</v>
      </c>
      <c r="C7" s="5" t="s">
        <v>325</v>
      </c>
      <c r="D7" s="5" t="s">
        <v>31</v>
      </c>
      <c r="E7" s="5" t="s">
        <v>1647</v>
      </c>
      <c r="F7" s="5" t="s">
        <v>1648</v>
      </c>
      <c r="G7" s="5" t="s">
        <v>1649</v>
      </c>
      <c r="H7" s="5" t="s">
        <v>1650</v>
      </c>
    </row>
    <row r="8" customFormat="false" ht="15" hidden="false" customHeight="true" outlineLevel="0" collapsed="false">
      <c r="A8" s="5" t="s">
        <v>1651</v>
      </c>
      <c r="B8" s="5" t="s">
        <v>24</v>
      </c>
      <c r="C8" s="5" t="s">
        <v>325</v>
      </c>
      <c r="D8" s="5" t="s">
        <v>153</v>
      </c>
      <c r="E8" s="5" t="s">
        <v>1647</v>
      </c>
      <c r="F8" s="5" t="s">
        <v>1652</v>
      </c>
      <c r="G8" s="5" t="s">
        <v>1653</v>
      </c>
      <c r="H8" s="5" t="s">
        <v>1654</v>
      </c>
    </row>
    <row r="9" customFormat="false" ht="15" hidden="false" customHeight="true" outlineLevel="0" collapsed="false">
      <c r="A9" s="5" t="s">
        <v>1655</v>
      </c>
      <c r="B9" s="5" t="s">
        <v>153</v>
      </c>
      <c r="C9" s="5" t="s">
        <v>325</v>
      </c>
      <c r="D9" s="5" t="s">
        <v>160</v>
      </c>
      <c r="E9" s="5" t="s">
        <v>1638</v>
      </c>
      <c r="F9" s="5" t="s">
        <v>1656</v>
      </c>
      <c r="G9" s="5" t="s">
        <v>1657</v>
      </c>
      <c r="H9" s="5" t="s">
        <v>1658</v>
      </c>
    </row>
    <row r="10" customFormat="false" ht="15" hidden="false" customHeight="true" outlineLevel="0" collapsed="false">
      <c r="A10" s="5" t="s">
        <v>1659</v>
      </c>
      <c r="B10" s="5" t="s">
        <v>24</v>
      </c>
      <c r="C10" s="5" t="s">
        <v>325</v>
      </c>
      <c r="D10" s="5" t="s">
        <v>74</v>
      </c>
      <c r="E10" s="5" t="s">
        <v>1647</v>
      </c>
      <c r="F10" s="5" t="s">
        <v>1660</v>
      </c>
      <c r="G10" s="5" t="s">
        <v>1661</v>
      </c>
      <c r="H10" s="5" t="s">
        <v>1662</v>
      </c>
    </row>
    <row r="11" customFormat="false" ht="15" hidden="false" customHeight="true" outlineLevel="0" collapsed="false">
      <c r="A11" s="5" t="s">
        <v>1663</v>
      </c>
      <c r="B11" s="5" t="s">
        <v>31</v>
      </c>
      <c r="C11" s="5" t="s">
        <v>325</v>
      </c>
      <c r="D11" s="5" t="s">
        <v>92</v>
      </c>
      <c r="E11" s="5" t="s">
        <v>1647</v>
      </c>
      <c r="F11" s="5" t="s">
        <v>1664</v>
      </c>
      <c r="G11" s="5" t="s">
        <v>1665</v>
      </c>
      <c r="H11" s="5" t="s">
        <v>1666</v>
      </c>
    </row>
    <row r="12" customFormat="false" ht="15" hidden="false" customHeight="true" outlineLevel="0" collapsed="false">
      <c r="A12" s="5" t="s">
        <v>1667</v>
      </c>
      <c r="B12" s="5" t="s">
        <v>36</v>
      </c>
      <c r="C12" s="5" t="s">
        <v>325</v>
      </c>
      <c r="D12" s="5" t="s">
        <v>87</v>
      </c>
      <c r="E12" s="5" t="s">
        <v>1647</v>
      </c>
      <c r="F12" s="5" t="s">
        <v>1668</v>
      </c>
      <c r="G12" s="5" t="s">
        <v>1669</v>
      </c>
      <c r="H12" s="5" t="s">
        <v>1670</v>
      </c>
    </row>
    <row r="13" customFormat="false" ht="15" hidden="false" customHeight="true" outlineLevel="0" collapsed="false">
      <c r="A13" s="5" t="s">
        <v>1671</v>
      </c>
      <c r="B13" s="5" t="s">
        <v>74</v>
      </c>
      <c r="C13" s="5" t="s">
        <v>325</v>
      </c>
      <c r="D13" s="5" t="s">
        <v>87</v>
      </c>
      <c r="E13" s="5" t="s">
        <v>1647</v>
      </c>
      <c r="F13" s="5" t="s">
        <v>1672</v>
      </c>
      <c r="G13" s="5" t="s">
        <v>1673</v>
      </c>
      <c r="H13" s="5" t="s">
        <v>1674</v>
      </c>
    </row>
    <row r="14" customFormat="false" ht="15" hidden="false" customHeight="true" outlineLevel="0" collapsed="false">
      <c r="A14" s="5" t="s">
        <v>1675</v>
      </c>
      <c r="B14" s="5" t="s">
        <v>74</v>
      </c>
      <c r="C14" s="5" t="s">
        <v>325</v>
      </c>
      <c r="D14" s="5" t="s">
        <v>92</v>
      </c>
      <c r="E14" s="5" t="s">
        <v>1647</v>
      </c>
      <c r="F14" s="5" t="s">
        <v>1676</v>
      </c>
      <c r="G14" s="5" t="s">
        <v>1677</v>
      </c>
      <c r="H14" s="5" t="s">
        <v>1678</v>
      </c>
    </row>
    <row r="15" customFormat="false" ht="15" hidden="false" customHeight="true" outlineLevel="0" collapsed="false">
      <c r="A15" s="5" t="s">
        <v>1679</v>
      </c>
      <c r="B15" s="5" t="s">
        <v>67</v>
      </c>
      <c r="C15" s="5" t="s">
        <v>325</v>
      </c>
      <c r="D15" s="5" t="s">
        <v>74</v>
      </c>
      <c r="E15" s="5" t="s">
        <v>1638</v>
      </c>
      <c r="F15" s="5" t="s">
        <v>1680</v>
      </c>
      <c r="G15" s="5" t="s">
        <v>1681</v>
      </c>
      <c r="H15" s="5" t="s">
        <v>1682</v>
      </c>
    </row>
    <row r="16" customFormat="false" ht="15" hidden="false" customHeight="true" outlineLevel="0" collapsed="false">
      <c r="A16" s="5" t="s">
        <v>1683</v>
      </c>
      <c r="B16" s="5" t="s">
        <v>74</v>
      </c>
      <c r="C16" s="5" t="s">
        <v>325</v>
      </c>
      <c r="D16" s="5" t="s">
        <v>81</v>
      </c>
      <c r="E16" s="5" t="s">
        <v>1647</v>
      </c>
      <c r="F16" s="5" t="s">
        <v>1684</v>
      </c>
      <c r="G16" s="5" t="s">
        <v>1685</v>
      </c>
      <c r="H16" s="5" t="s">
        <v>1686</v>
      </c>
    </row>
    <row r="17" customFormat="false" ht="15" hidden="false" customHeight="true" outlineLevel="0" collapsed="false">
      <c r="A17" s="5" t="s">
        <v>1687</v>
      </c>
      <c r="B17" s="5" t="s">
        <v>74</v>
      </c>
      <c r="C17" s="5" t="s">
        <v>325</v>
      </c>
      <c r="D17" s="5" t="s">
        <v>98</v>
      </c>
      <c r="E17" s="5" t="s">
        <v>1647</v>
      </c>
      <c r="F17" s="5" t="s">
        <v>1688</v>
      </c>
      <c r="G17" s="5" t="s">
        <v>1689</v>
      </c>
      <c r="H17" s="5" t="s">
        <v>1690</v>
      </c>
    </row>
    <row r="18" customFormat="false" ht="15" hidden="false" customHeight="true" outlineLevel="0" collapsed="false">
      <c r="A18" s="5" t="s">
        <v>1691</v>
      </c>
      <c r="B18" s="5" t="s">
        <v>42</v>
      </c>
      <c r="C18" s="5" t="s">
        <v>1692</v>
      </c>
      <c r="D18" s="5" t="s">
        <v>74</v>
      </c>
      <c r="E18" s="5" t="s">
        <v>1647</v>
      </c>
      <c r="F18" s="5" t="s">
        <v>1693</v>
      </c>
      <c r="G18" s="5" t="s">
        <v>1694</v>
      </c>
      <c r="H18" s="5" t="s">
        <v>1695</v>
      </c>
    </row>
    <row r="19" customFormat="false" ht="15" hidden="false" customHeight="true" outlineLevel="0" collapsed="false">
      <c r="A19" s="5" t="s">
        <v>1696</v>
      </c>
      <c r="B19" s="5" t="s">
        <v>74</v>
      </c>
      <c r="C19" s="5" t="s">
        <v>325</v>
      </c>
      <c r="D19" s="5" t="s">
        <v>136</v>
      </c>
      <c r="E19" s="5" t="s">
        <v>1692</v>
      </c>
      <c r="F19" s="5" t="s">
        <v>1697</v>
      </c>
      <c r="G19" s="5" t="s">
        <v>1698</v>
      </c>
      <c r="H19" s="5" t="s">
        <v>1699</v>
      </c>
    </row>
    <row r="20" customFormat="false" ht="15" hidden="false" customHeight="true" outlineLevel="0" collapsed="false">
      <c r="A20" s="5" t="s">
        <v>1700</v>
      </c>
      <c r="B20" s="5" t="s">
        <v>74</v>
      </c>
      <c r="C20" s="5" t="s">
        <v>325</v>
      </c>
      <c r="D20" s="5" t="s">
        <v>103</v>
      </c>
      <c r="E20" s="5" t="s">
        <v>1647</v>
      </c>
      <c r="F20" s="5" t="s">
        <v>1701</v>
      </c>
      <c r="G20" s="5" t="s">
        <v>1702</v>
      </c>
      <c r="H20" s="5" t="s">
        <v>1703</v>
      </c>
    </row>
    <row r="21" customFormat="false" ht="15" hidden="false" customHeight="true" outlineLevel="0" collapsed="false">
      <c r="A21" s="5" t="s">
        <v>1704</v>
      </c>
      <c r="B21" s="5" t="s">
        <v>74</v>
      </c>
      <c r="C21" s="5" t="s">
        <v>325</v>
      </c>
      <c r="D21" s="5" t="s">
        <v>110</v>
      </c>
      <c r="E21" s="5" t="s">
        <v>1638</v>
      </c>
      <c r="F21" s="5" t="s">
        <v>1705</v>
      </c>
      <c r="G21" s="5" t="s">
        <v>1706</v>
      </c>
      <c r="H21" s="5" t="s">
        <v>1707</v>
      </c>
    </row>
    <row r="22" customFormat="false" ht="15" hidden="false" customHeight="true" outlineLevel="0" collapsed="false">
      <c r="A22" s="5" t="s">
        <v>1708</v>
      </c>
      <c r="B22" s="5" t="s">
        <v>136</v>
      </c>
      <c r="C22" s="5" t="s">
        <v>325</v>
      </c>
      <c r="D22" s="5" t="s">
        <v>144</v>
      </c>
      <c r="E22" s="5" t="s">
        <v>1638</v>
      </c>
      <c r="F22" s="5" t="s">
        <v>1709</v>
      </c>
      <c r="G22" s="5" t="s">
        <v>1710</v>
      </c>
      <c r="H22" s="5" t="s">
        <v>1711</v>
      </c>
    </row>
    <row r="23" customFormat="false" ht="15" hidden="false" customHeight="true" outlineLevel="0" collapsed="false">
      <c r="A23" s="5" t="s">
        <v>1712</v>
      </c>
      <c r="B23" s="5" t="s">
        <v>136</v>
      </c>
      <c r="C23" s="5" t="s">
        <v>325</v>
      </c>
      <c r="D23" s="5" t="s">
        <v>148</v>
      </c>
      <c r="E23" s="5" t="s">
        <v>1692</v>
      </c>
      <c r="F23" s="5" t="s">
        <v>1713</v>
      </c>
      <c r="G23" s="5" t="s">
        <v>1714</v>
      </c>
      <c r="H23" s="5" t="s">
        <v>1715</v>
      </c>
    </row>
    <row r="24" customFormat="false" ht="15" hidden="false" customHeight="true" outlineLevel="0" collapsed="false">
      <c r="A24" s="5" t="s">
        <v>1716</v>
      </c>
      <c r="B24" s="5" t="s">
        <v>136</v>
      </c>
      <c r="C24" s="5" t="s">
        <v>1692</v>
      </c>
      <c r="D24" s="5" t="s">
        <v>110</v>
      </c>
      <c r="E24" s="5" t="s">
        <v>1692</v>
      </c>
      <c r="F24" s="5" t="s">
        <v>1717</v>
      </c>
      <c r="G24" s="5" t="s">
        <v>1718</v>
      </c>
      <c r="H24" s="5" t="s">
        <v>1719</v>
      </c>
    </row>
    <row r="25" customFormat="false" ht="15" hidden="false" customHeight="true" outlineLevel="0" collapsed="false">
      <c r="A25" s="5" t="s">
        <v>1720</v>
      </c>
      <c r="B25" s="5" t="s">
        <v>103</v>
      </c>
      <c r="C25" s="5" t="s">
        <v>1692</v>
      </c>
      <c r="D25" s="5" t="s">
        <v>116</v>
      </c>
      <c r="E25" s="5" t="s">
        <v>1647</v>
      </c>
      <c r="F25" s="5" t="s">
        <v>1721</v>
      </c>
      <c r="G25" s="5" t="s">
        <v>1722</v>
      </c>
      <c r="H25" s="5" t="s">
        <v>1723</v>
      </c>
    </row>
    <row r="26" customFormat="false" ht="15" hidden="false" customHeight="true" outlineLevel="0" collapsed="false">
      <c r="A26" s="5" t="s">
        <v>1724</v>
      </c>
      <c r="B26" s="5" t="s">
        <v>110</v>
      </c>
      <c r="C26" s="5" t="s">
        <v>325</v>
      </c>
      <c r="D26" s="5" t="s">
        <v>116</v>
      </c>
      <c r="E26" s="5" t="s">
        <v>1638</v>
      </c>
      <c r="F26" s="5" t="s">
        <v>1709</v>
      </c>
      <c r="G26" s="5" t="s">
        <v>1725</v>
      </c>
      <c r="H26" s="5" t="s">
        <v>1726</v>
      </c>
    </row>
    <row r="27" customFormat="false" ht="15" hidden="false" customHeight="true" outlineLevel="0" collapsed="false">
      <c r="A27" s="5" t="s">
        <v>1727</v>
      </c>
      <c r="B27" s="5" t="s">
        <v>153</v>
      </c>
      <c r="C27" s="5" t="s">
        <v>1692</v>
      </c>
      <c r="D27" s="5" t="s">
        <v>116</v>
      </c>
      <c r="E27" s="5" t="s">
        <v>1647</v>
      </c>
      <c r="F27" s="5" t="s">
        <v>1728</v>
      </c>
      <c r="G27" s="5" t="s">
        <v>1729</v>
      </c>
      <c r="H27" s="5" t="s">
        <v>1730</v>
      </c>
    </row>
    <row r="28" customFormat="false" ht="15" hidden="false" customHeight="true" outlineLevel="0" collapsed="false">
      <c r="A28" s="5" t="s">
        <v>1731</v>
      </c>
      <c r="B28" s="5" t="s">
        <v>110</v>
      </c>
      <c r="C28" s="5" t="s">
        <v>325</v>
      </c>
      <c r="D28" s="5" t="s">
        <v>122</v>
      </c>
      <c r="E28" s="5" t="s">
        <v>1647</v>
      </c>
      <c r="F28" s="5" t="s">
        <v>1732</v>
      </c>
      <c r="G28" s="5" t="s">
        <v>1733</v>
      </c>
      <c r="H28" s="5" t="s">
        <v>1734</v>
      </c>
    </row>
    <row r="29" customFormat="false" ht="15" hidden="false" customHeight="true" outlineLevel="0" collapsed="false">
      <c r="A29" s="5" t="s">
        <v>1735</v>
      </c>
      <c r="B29" s="5" t="s">
        <v>110</v>
      </c>
      <c r="C29" s="5" t="s">
        <v>325</v>
      </c>
      <c r="D29" s="5" t="s">
        <v>129</v>
      </c>
      <c r="E29" s="5" t="s">
        <v>1647</v>
      </c>
      <c r="F29" s="5" t="s">
        <v>1736</v>
      </c>
      <c r="G29" s="5" t="s">
        <v>1737</v>
      </c>
      <c r="H29" s="5" t="s">
        <v>1738</v>
      </c>
    </row>
    <row r="30" customFormat="false" ht="15" hidden="false" customHeight="true" outlineLevel="0" collapsed="false">
      <c r="A30" s="5" t="s">
        <v>1739</v>
      </c>
      <c r="B30" s="5" t="s">
        <v>122</v>
      </c>
      <c r="C30" s="5" t="s">
        <v>1692</v>
      </c>
      <c r="D30" s="5" t="s">
        <v>129</v>
      </c>
      <c r="E30" s="5" t="s">
        <v>1692</v>
      </c>
      <c r="F30" s="5" t="s">
        <v>1740</v>
      </c>
      <c r="G30" s="5" t="s">
        <v>1741</v>
      </c>
      <c r="H30" s="5" t="s">
        <v>1742</v>
      </c>
    </row>
    <row r="31" customFormat="false" ht="15" hidden="false" customHeight="true" outlineLevel="0" collapsed="false">
      <c r="A31" s="5" t="s">
        <v>1743</v>
      </c>
      <c r="B31" s="5" t="s">
        <v>42</v>
      </c>
      <c r="C31" s="5" t="s">
        <v>325</v>
      </c>
      <c r="D31" s="5" t="s">
        <v>50</v>
      </c>
      <c r="E31" s="5" t="s">
        <v>1647</v>
      </c>
      <c r="F31" s="5" t="s">
        <v>1744</v>
      </c>
      <c r="G31" s="5" t="s">
        <v>1745</v>
      </c>
      <c r="H31" s="5" t="s">
        <v>1746</v>
      </c>
    </row>
    <row r="32" customFormat="false" ht="15" hidden="false" customHeight="true" outlineLevel="0" collapsed="false">
      <c r="A32" s="5" t="s">
        <v>1747</v>
      </c>
      <c r="B32" s="5" t="s">
        <v>42</v>
      </c>
      <c r="C32" s="5" t="s">
        <v>325</v>
      </c>
      <c r="D32" s="5" t="s">
        <v>61</v>
      </c>
      <c r="E32" s="5" t="s">
        <v>1647</v>
      </c>
      <c r="F32" s="5" t="s">
        <v>1748</v>
      </c>
      <c r="G32" s="5" t="s">
        <v>1749</v>
      </c>
      <c r="H32" s="5" t="s">
        <v>1750</v>
      </c>
    </row>
    <row r="33" customFormat="false" ht="15" hidden="false" customHeight="true" outlineLevel="0" collapsed="false">
      <c r="A33" s="5" t="s">
        <v>1751</v>
      </c>
      <c r="B33" s="5" t="s">
        <v>56</v>
      </c>
      <c r="C33" s="5" t="s">
        <v>325</v>
      </c>
      <c r="D33" s="5" t="s">
        <v>61</v>
      </c>
      <c r="E33" s="5" t="s">
        <v>1638</v>
      </c>
      <c r="F33" s="5" t="s">
        <v>1752</v>
      </c>
      <c r="G33" s="5" t="s">
        <v>1753</v>
      </c>
      <c r="H33" s="5" t="s">
        <v>1754</v>
      </c>
    </row>
    <row r="34" customFormat="false" ht="15" hidden="false" customHeight="true" outlineLevel="0" collapsed="false">
      <c r="A34" s="7" t="s">
        <v>1755</v>
      </c>
      <c r="B34" s="7" t="s">
        <v>81</v>
      </c>
      <c r="C34" s="7" t="s">
        <v>1692</v>
      </c>
      <c r="D34" s="7" t="s">
        <v>74</v>
      </c>
      <c r="E34" s="7" t="s">
        <v>1647</v>
      </c>
      <c r="F34" s="7" t="s">
        <v>1756</v>
      </c>
      <c r="G34" s="7" t="s">
        <v>1757</v>
      </c>
      <c r="H34" s="7" t="s">
        <v>1758</v>
      </c>
    </row>
    <row r="35" customFormat="false" ht="15" hidden="false" customHeight="true" outlineLevel="0" collapsed="false">
      <c r="A35" s="7" t="s">
        <v>1759</v>
      </c>
      <c r="B35" s="7" t="s">
        <v>110</v>
      </c>
      <c r="C35" s="7" t="s">
        <v>1692</v>
      </c>
      <c r="D35" s="7" t="s">
        <v>116</v>
      </c>
      <c r="E35" s="7" t="s">
        <v>1647</v>
      </c>
      <c r="F35" s="7" t="s">
        <v>1760</v>
      </c>
      <c r="G35" s="7" t="s">
        <v>1761</v>
      </c>
      <c r="H35" s="7" t="s">
        <v>1762</v>
      </c>
    </row>
  </sheetData>
  <autoFilter ref="A4: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D14" activeCellId="0" sqref="D14"/>
    </sheetView>
  </sheetViews>
  <sheetFormatPr defaultColWidth="8.66796875" defaultRowHeight="14.2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22"/>
    <col collapsed="false" customWidth="true" hidden="false" outlineLevel="0" max="4" min="4" style="1" width="40"/>
    <col collapsed="false" customWidth="true" hidden="false" outlineLevel="0" max="5" min="5" style="1" width="42"/>
    <col collapsed="false" customWidth="true" hidden="false" outlineLevel="0" max="7" min="6" style="1" width="18"/>
  </cols>
  <sheetData>
    <row r="1" customFormat="false" ht="17.25" hidden="false" customHeight="true" outlineLevel="0" collapsed="false">
      <c r="A1" s="2" t="s">
        <v>1763</v>
      </c>
    </row>
    <row r="2" customFormat="false" ht="15" hidden="false" customHeight="true" outlineLevel="0" collapsed="false">
      <c r="A2" s="3" t="s">
        <v>1764</v>
      </c>
    </row>
    <row r="4" customFormat="false" ht="31.5" hidden="false" customHeight="true" outlineLevel="0" collapsed="false">
      <c r="A4" s="4" t="s">
        <v>416</v>
      </c>
      <c r="B4" s="4" t="s">
        <v>1765</v>
      </c>
      <c r="C4" s="4" t="s">
        <v>1766</v>
      </c>
      <c r="D4" s="4" t="s">
        <v>1767</v>
      </c>
      <c r="E4" s="4" t="s">
        <v>1768</v>
      </c>
      <c r="F4" s="4" t="s">
        <v>873</v>
      </c>
      <c r="G4" s="4" t="s">
        <v>1393</v>
      </c>
    </row>
    <row r="5" customFormat="false" ht="21.75" hidden="false" customHeight="true" outlineLevel="0" collapsed="false">
      <c r="A5" s="5" t="s">
        <v>24</v>
      </c>
      <c r="B5" s="5" t="s">
        <v>1769</v>
      </c>
      <c r="C5" s="5" t="s">
        <v>310</v>
      </c>
      <c r="D5" s="5" t="s">
        <v>1770</v>
      </c>
      <c r="E5" s="5"/>
      <c r="F5" s="5" t="s">
        <v>881</v>
      </c>
      <c r="G5" s="5" t="s">
        <v>1437</v>
      </c>
    </row>
    <row r="6" customFormat="false" ht="15" hidden="false" customHeight="true" outlineLevel="0" collapsed="false">
      <c r="A6" s="5" t="s">
        <v>24</v>
      </c>
      <c r="B6" s="5" t="s">
        <v>310</v>
      </c>
      <c r="C6" s="5" t="s">
        <v>1412</v>
      </c>
      <c r="D6" s="5" t="s">
        <v>1771</v>
      </c>
      <c r="E6" s="5" t="s">
        <v>1772</v>
      </c>
      <c r="F6" s="5" t="s">
        <v>895</v>
      </c>
      <c r="G6" s="5"/>
    </row>
    <row r="7" customFormat="false" ht="15" hidden="false" customHeight="true" outlineLevel="0" collapsed="false">
      <c r="A7" s="5" t="s">
        <v>24</v>
      </c>
      <c r="B7" s="5" t="s">
        <v>1412</v>
      </c>
      <c r="C7" s="5" t="s">
        <v>310</v>
      </c>
      <c r="D7" s="5" t="s">
        <v>1773</v>
      </c>
      <c r="E7" s="5" t="s">
        <v>1772</v>
      </c>
      <c r="F7" s="5" t="s">
        <v>895</v>
      </c>
      <c r="G7" s="5"/>
    </row>
    <row r="8" customFormat="false" ht="15" hidden="false" customHeight="true" outlineLevel="0" collapsed="false">
      <c r="A8" s="5" t="s">
        <v>24</v>
      </c>
      <c r="B8" s="5" t="s">
        <v>310</v>
      </c>
      <c r="C8" s="5" t="s">
        <v>1415</v>
      </c>
      <c r="D8" s="5" t="s">
        <v>1774</v>
      </c>
      <c r="E8" s="5" t="s">
        <v>1775</v>
      </c>
      <c r="F8" s="5" t="s">
        <v>881</v>
      </c>
      <c r="G8" s="5"/>
    </row>
    <row r="9" customFormat="false" ht="15" hidden="false" customHeight="true" outlineLevel="0" collapsed="false">
      <c r="A9" s="5" t="s">
        <v>24</v>
      </c>
      <c r="B9" s="5" t="s">
        <v>1415</v>
      </c>
      <c r="C9" s="5" t="s">
        <v>310</v>
      </c>
      <c r="D9" s="5" t="s">
        <v>1774</v>
      </c>
      <c r="E9" s="5"/>
      <c r="F9" s="5" t="s">
        <v>881</v>
      </c>
      <c r="G9" s="5"/>
    </row>
    <row r="10" customFormat="false" ht="21.75" hidden="false" customHeight="true" outlineLevel="0" collapsed="false">
      <c r="A10" s="7" t="s">
        <v>24</v>
      </c>
      <c r="B10" s="7" t="s">
        <v>310</v>
      </c>
      <c r="C10" s="7" t="s">
        <v>1776</v>
      </c>
      <c r="D10" s="7" t="s">
        <v>1777</v>
      </c>
      <c r="E10" s="7" t="s">
        <v>1778</v>
      </c>
      <c r="F10" s="7" t="s">
        <v>881</v>
      </c>
      <c r="G10" s="7" t="s">
        <v>1779</v>
      </c>
    </row>
    <row r="11" customFormat="false" ht="15" hidden="false" customHeight="true" outlineLevel="0" collapsed="false">
      <c r="A11" s="5" t="s">
        <v>74</v>
      </c>
      <c r="B11" s="5" t="s">
        <v>1769</v>
      </c>
      <c r="C11" s="5" t="s">
        <v>547</v>
      </c>
      <c r="D11" s="5" t="s">
        <v>1780</v>
      </c>
      <c r="E11" s="5" t="s">
        <v>1033</v>
      </c>
      <c r="F11" s="5" t="s">
        <v>881</v>
      </c>
      <c r="G11" s="5" t="s">
        <v>1437</v>
      </c>
    </row>
    <row r="12" customFormat="false" ht="15" hidden="false" customHeight="true" outlineLevel="0" collapsed="false">
      <c r="A12" s="5" t="s">
        <v>74</v>
      </c>
      <c r="B12" s="5" t="s">
        <v>547</v>
      </c>
      <c r="C12" s="5" t="s">
        <v>772</v>
      </c>
      <c r="D12" s="5" t="s">
        <v>1781</v>
      </c>
      <c r="E12" s="5" t="s">
        <v>1782</v>
      </c>
      <c r="F12" s="5" t="s">
        <v>881</v>
      </c>
      <c r="G12" s="5"/>
    </row>
    <row r="13" customFormat="false" ht="15" hidden="false" customHeight="true" outlineLevel="0" collapsed="false">
      <c r="A13" s="5" t="s">
        <v>74</v>
      </c>
      <c r="B13" s="5" t="s">
        <v>772</v>
      </c>
      <c r="C13" s="5" t="s">
        <v>772</v>
      </c>
      <c r="D13" s="5" t="s">
        <v>1783</v>
      </c>
      <c r="E13" s="5" t="s">
        <v>1784</v>
      </c>
      <c r="F13" s="5" t="s">
        <v>1785</v>
      </c>
      <c r="G13" s="5"/>
    </row>
    <row r="14" customFormat="false" ht="21.75" hidden="false" customHeight="true" outlineLevel="0" collapsed="false">
      <c r="A14" s="5" t="s">
        <v>74</v>
      </c>
      <c r="B14" s="5" t="s">
        <v>772</v>
      </c>
      <c r="C14" s="5" t="s">
        <v>1440</v>
      </c>
      <c r="D14" s="5" t="s">
        <v>1773</v>
      </c>
      <c r="E14" s="5" t="s">
        <v>1786</v>
      </c>
      <c r="F14" s="5" t="s">
        <v>881</v>
      </c>
      <c r="G14" s="5"/>
    </row>
    <row r="15" customFormat="false" ht="15" hidden="false" customHeight="true" outlineLevel="0" collapsed="false">
      <c r="A15" s="5" t="s">
        <v>110</v>
      </c>
      <c r="B15" s="5" t="s">
        <v>1769</v>
      </c>
      <c r="C15" s="5" t="s">
        <v>694</v>
      </c>
      <c r="D15" s="5" t="s">
        <v>1787</v>
      </c>
      <c r="E15" s="5" t="s">
        <v>1788</v>
      </c>
      <c r="F15" s="5" t="s">
        <v>909</v>
      </c>
      <c r="G15" s="5" t="s">
        <v>1437</v>
      </c>
    </row>
    <row r="16" customFormat="false" ht="21.75" hidden="false" customHeight="true" outlineLevel="0" collapsed="false">
      <c r="A16" s="5" t="s">
        <v>110</v>
      </c>
      <c r="B16" s="5" t="s">
        <v>694</v>
      </c>
      <c r="C16" s="5" t="s">
        <v>1487</v>
      </c>
      <c r="D16" s="5" t="s">
        <v>1789</v>
      </c>
      <c r="E16" s="5"/>
      <c r="F16" s="5" t="s">
        <v>881</v>
      </c>
      <c r="G16" s="5"/>
    </row>
    <row r="17" customFormat="false" ht="21.75" hidden="false" customHeight="true" outlineLevel="0" collapsed="false">
      <c r="A17" s="5" t="s">
        <v>110</v>
      </c>
      <c r="B17" s="5" t="s">
        <v>1790</v>
      </c>
      <c r="C17" s="5" t="s">
        <v>1496</v>
      </c>
      <c r="D17" s="5" t="s">
        <v>1791</v>
      </c>
      <c r="E17" s="5" t="s">
        <v>1792</v>
      </c>
      <c r="F17" s="5" t="s">
        <v>895</v>
      </c>
      <c r="G17" s="5"/>
    </row>
    <row r="18" customFormat="false" ht="15" hidden="false" customHeight="true" outlineLevel="0" collapsed="false">
      <c r="A18" s="5" t="s">
        <v>110</v>
      </c>
      <c r="B18" s="5" t="s">
        <v>1793</v>
      </c>
      <c r="C18" s="5" t="s">
        <v>747</v>
      </c>
      <c r="D18" s="5" t="s">
        <v>1794</v>
      </c>
      <c r="E18" s="5" t="s">
        <v>1491</v>
      </c>
      <c r="F18" s="5" t="s">
        <v>1795</v>
      </c>
      <c r="G18" s="5"/>
    </row>
    <row r="19" customFormat="false" ht="21.75" hidden="false" customHeight="true" outlineLevel="0" collapsed="false">
      <c r="A19" s="5" t="s">
        <v>110</v>
      </c>
      <c r="B19" s="5" t="s">
        <v>747</v>
      </c>
      <c r="C19" s="5" t="s">
        <v>1796</v>
      </c>
      <c r="D19" s="5" t="s">
        <v>1797</v>
      </c>
      <c r="E19" s="5" t="s">
        <v>1798</v>
      </c>
      <c r="F19" s="5" t="s">
        <v>881</v>
      </c>
      <c r="G19" s="5"/>
    </row>
    <row r="20" customFormat="false" ht="21.75" hidden="false" customHeight="true" outlineLevel="0" collapsed="false">
      <c r="A20" s="5" t="s">
        <v>110</v>
      </c>
      <c r="B20" s="5" t="s">
        <v>747</v>
      </c>
      <c r="C20" s="5" t="s">
        <v>1799</v>
      </c>
      <c r="D20" s="5" t="s">
        <v>1800</v>
      </c>
      <c r="E20" s="5" t="s">
        <v>1801</v>
      </c>
      <c r="F20" s="5" t="s">
        <v>881</v>
      </c>
      <c r="G20" s="5"/>
    </row>
    <row r="21" customFormat="false" ht="15" hidden="false" customHeight="true" outlineLevel="0" collapsed="false">
      <c r="A21" s="5" t="s">
        <v>110</v>
      </c>
      <c r="B21" s="5" t="s">
        <v>1793</v>
      </c>
      <c r="C21" s="5" t="s">
        <v>1799</v>
      </c>
      <c r="D21" s="5" t="s">
        <v>1802</v>
      </c>
      <c r="E21" s="5" t="s">
        <v>1803</v>
      </c>
      <c r="F21" s="5" t="s">
        <v>881</v>
      </c>
      <c r="G21" s="5"/>
    </row>
    <row r="22" customFormat="false" ht="21.75" hidden="false" customHeight="true" outlineLevel="0" collapsed="false">
      <c r="A22" s="5" t="s">
        <v>110</v>
      </c>
      <c r="B22" s="5" t="s">
        <v>1804</v>
      </c>
      <c r="C22" s="5" t="s">
        <v>1499</v>
      </c>
      <c r="D22" s="5" t="s">
        <v>1805</v>
      </c>
      <c r="E22" s="5" t="s">
        <v>1806</v>
      </c>
      <c r="F22" s="5" t="s">
        <v>881</v>
      </c>
      <c r="G22" s="5"/>
    </row>
    <row r="23" customFormat="false" ht="15" hidden="false" customHeight="true" outlineLevel="0" collapsed="false">
      <c r="A23" s="5" t="s">
        <v>122</v>
      </c>
      <c r="B23" s="5" t="s">
        <v>1769</v>
      </c>
      <c r="C23" s="5" t="s">
        <v>747</v>
      </c>
      <c r="D23" s="5" t="s">
        <v>1807</v>
      </c>
      <c r="E23" s="5"/>
      <c r="F23" s="5" t="s">
        <v>1795</v>
      </c>
      <c r="G23" s="5" t="s">
        <v>1808</v>
      </c>
    </row>
    <row r="24" customFormat="false" ht="15" hidden="false" customHeight="true" outlineLevel="0" collapsed="false">
      <c r="A24" s="5" t="s">
        <v>122</v>
      </c>
      <c r="B24" s="5" t="s">
        <v>747</v>
      </c>
      <c r="C24" s="5" t="s">
        <v>1521</v>
      </c>
      <c r="D24" s="5" t="s">
        <v>1809</v>
      </c>
      <c r="E24" s="5"/>
      <c r="F24" s="5" t="s">
        <v>881</v>
      </c>
      <c r="G24" s="5"/>
    </row>
    <row r="25" customFormat="false" ht="21.75" hidden="false" customHeight="true" outlineLevel="0" collapsed="false">
      <c r="A25" s="5" t="s">
        <v>122</v>
      </c>
      <c r="B25" s="5" t="s">
        <v>747</v>
      </c>
      <c r="C25" s="5" t="s">
        <v>1523</v>
      </c>
      <c r="D25" s="5" t="s">
        <v>1810</v>
      </c>
      <c r="E25" s="5" t="s">
        <v>1811</v>
      </c>
      <c r="F25" s="5" t="s">
        <v>881</v>
      </c>
      <c r="G25" s="5"/>
    </row>
    <row r="26" customFormat="false" ht="15" hidden="false" customHeight="true" outlineLevel="0" collapsed="false">
      <c r="A26" s="5" t="s">
        <v>129</v>
      </c>
      <c r="B26" s="5" t="s">
        <v>1769</v>
      </c>
      <c r="C26" s="5" t="s">
        <v>772</v>
      </c>
      <c r="D26" s="5" t="s">
        <v>1812</v>
      </c>
      <c r="E26" s="5"/>
      <c r="F26" s="5" t="s">
        <v>881</v>
      </c>
      <c r="G26" s="5" t="s">
        <v>1808</v>
      </c>
    </row>
    <row r="27" customFormat="false" ht="21.75" hidden="false" customHeight="true" outlineLevel="0" collapsed="false">
      <c r="A27" s="5" t="s">
        <v>129</v>
      </c>
      <c r="B27" s="5" t="s">
        <v>772</v>
      </c>
      <c r="C27" s="5" t="s">
        <v>1499</v>
      </c>
      <c r="D27" s="5" t="s">
        <v>1805</v>
      </c>
      <c r="E27" s="5" t="s">
        <v>1813</v>
      </c>
      <c r="F27" s="5" t="s">
        <v>881</v>
      </c>
      <c r="G27" s="5"/>
    </row>
    <row r="28" customFormat="false" ht="15" hidden="false" customHeight="true" outlineLevel="0" collapsed="false">
      <c r="A28" s="5" t="s">
        <v>153</v>
      </c>
      <c r="B28" s="5" t="s">
        <v>1769</v>
      </c>
      <c r="C28" s="5" t="s">
        <v>852</v>
      </c>
      <c r="D28" s="5" t="s">
        <v>1814</v>
      </c>
      <c r="E28" s="5"/>
      <c r="F28" s="5" t="s">
        <v>1795</v>
      </c>
      <c r="G28" s="5" t="s">
        <v>1437</v>
      </c>
    </row>
    <row r="29" customFormat="false" ht="15" hidden="false" customHeight="true" outlineLevel="0" collapsed="false">
      <c r="A29" s="5" t="s">
        <v>153</v>
      </c>
      <c r="B29" s="5" t="s">
        <v>852</v>
      </c>
      <c r="C29" s="5" t="s">
        <v>1576</v>
      </c>
      <c r="D29" s="5" t="s">
        <v>1815</v>
      </c>
      <c r="E29" s="5"/>
      <c r="F29" s="5" t="s">
        <v>881</v>
      </c>
      <c r="G29" s="5"/>
    </row>
    <row r="30" customFormat="false" ht="15" hidden="false" customHeight="true" outlineLevel="0" collapsed="false">
      <c r="A30" s="5" t="s">
        <v>153</v>
      </c>
      <c r="B30" s="5" t="s">
        <v>852</v>
      </c>
      <c r="C30" s="5" t="s">
        <v>1523</v>
      </c>
      <c r="D30" s="5" t="s">
        <v>1810</v>
      </c>
      <c r="E30" s="5" t="s">
        <v>1816</v>
      </c>
      <c r="F30" s="5" t="s">
        <v>881</v>
      </c>
      <c r="G30" s="5"/>
    </row>
    <row r="31" customFormat="false" ht="15" hidden="false" customHeight="true" outlineLevel="0" collapsed="false">
      <c r="A31" s="5" t="s">
        <v>153</v>
      </c>
      <c r="B31" s="5" t="s">
        <v>1576</v>
      </c>
      <c r="C31" s="5" t="s">
        <v>1578</v>
      </c>
      <c r="D31" s="5" t="s">
        <v>1817</v>
      </c>
      <c r="E31" s="5"/>
      <c r="F31" s="5" t="s">
        <v>881</v>
      </c>
      <c r="G31" s="5"/>
    </row>
    <row r="32" customFormat="false" ht="15" hidden="false" customHeight="true" outlineLevel="0" collapsed="false">
      <c r="A32" s="5" t="s">
        <v>153</v>
      </c>
      <c r="B32" s="5" t="s">
        <v>1578</v>
      </c>
      <c r="C32" s="5" t="s">
        <v>1580</v>
      </c>
      <c r="D32" s="5" t="s">
        <v>1818</v>
      </c>
      <c r="E32" s="5" t="s">
        <v>1819</v>
      </c>
      <c r="F32" s="5" t="s">
        <v>1795</v>
      </c>
      <c r="G32" s="5"/>
    </row>
    <row r="33" customFormat="false" ht="21.75" hidden="false" customHeight="true" outlineLevel="0" collapsed="false">
      <c r="A33" s="5" t="s">
        <v>153</v>
      </c>
      <c r="B33" s="5" t="s">
        <v>1580</v>
      </c>
      <c r="C33" s="5" t="s">
        <v>1576</v>
      </c>
      <c r="D33" s="5" t="s">
        <v>1815</v>
      </c>
      <c r="E33" s="5"/>
      <c r="F33" s="5" t="s">
        <v>881</v>
      </c>
      <c r="G33" s="5"/>
    </row>
    <row r="34" customFormat="false" ht="15" hidden="false" customHeight="true" outlineLevel="0" collapsed="false">
      <c r="A34" s="5" t="s">
        <v>136</v>
      </c>
      <c r="B34" s="5" t="s">
        <v>1769</v>
      </c>
      <c r="C34" s="5" t="s">
        <v>694</v>
      </c>
      <c r="D34" s="5" t="s">
        <v>1820</v>
      </c>
      <c r="E34" s="5"/>
      <c r="F34" s="5" t="s">
        <v>895</v>
      </c>
      <c r="G34" s="5" t="s">
        <v>1437</v>
      </c>
    </row>
    <row r="35" customFormat="false" ht="21.75" hidden="false" customHeight="true" outlineLevel="0" collapsed="false">
      <c r="A35" s="5" t="s">
        <v>136</v>
      </c>
      <c r="B35" s="5" t="s">
        <v>694</v>
      </c>
      <c r="C35" s="5" t="s">
        <v>1536</v>
      </c>
      <c r="D35" s="5" t="s">
        <v>1821</v>
      </c>
      <c r="E35" s="5" t="s">
        <v>1822</v>
      </c>
      <c r="F35" s="5" t="s">
        <v>881</v>
      </c>
      <c r="G35" s="5"/>
    </row>
    <row r="36" customFormat="false" ht="15" hidden="false" customHeight="true" outlineLevel="0" collapsed="false">
      <c r="A36" s="5" t="s">
        <v>136</v>
      </c>
      <c r="B36" s="5" t="s">
        <v>1536</v>
      </c>
      <c r="C36" s="5" t="s">
        <v>1542</v>
      </c>
      <c r="D36" s="5" t="s">
        <v>1823</v>
      </c>
      <c r="E36" s="5" t="s">
        <v>1824</v>
      </c>
      <c r="F36" s="5" t="s">
        <v>1825</v>
      </c>
      <c r="G36" s="5"/>
    </row>
    <row r="37" customFormat="false" ht="15" hidden="false" customHeight="true" outlineLevel="0" collapsed="false">
      <c r="A37" s="5" t="s">
        <v>136</v>
      </c>
      <c r="B37" s="5" t="s">
        <v>1536</v>
      </c>
      <c r="C37" s="5" t="s">
        <v>1539</v>
      </c>
      <c r="D37" s="5" t="s">
        <v>1826</v>
      </c>
      <c r="E37" s="5" t="s">
        <v>1827</v>
      </c>
      <c r="F37" s="5" t="s">
        <v>1795</v>
      </c>
      <c r="G37" s="5"/>
    </row>
    <row r="38" customFormat="false" ht="15" hidden="false" customHeight="true" outlineLevel="0" collapsed="false">
      <c r="A38" s="5" t="s">
        <v>136</v>
      </c>
      <c r="B38" s="5" t="s">
        <v>1539</v>
      </c>
      <c r="C38" s="5" t="s">
        <v>1536</v>
      </c>
      <c r="D38" s="5" t="s">
        <v>1828</v>
      </c>
      <c r="E38" s="5" t="s">
        <v>1829</v>
      </c>
      <c r="F38" s="5" t="s">
        <v>881</v>
      </c>
      <c r="G38" s="5"/>
    </row>
    <row r="39" customFormat="false" ht="15" hidden="false" customHeight="true" outlineLevel="0" collapsed="false">
      <c r="A39" s="5" t="s">
        <v>136</v>
      </c>
      <c r="B39" s="5" t="s">
        <v>1539</v>
      </c>
      <c r="C39" s="5" t="s">
        <v>1542</v>
      </c>
      <c r="D39" s="5" t="s">
        <v>1830</v>
      </c>
      <c r="E39" s="5" t="s">
        <v>1831</v>
      </c>
      <c r="F39" s="5" t="s">
        <v>881</v>
      </c>
      <c r="G39" s="5"/>
    </row>
    <row r="40" customFormat="false" ht="21.75" hidden="false" customHeight="true" outlineLevel="0" collapsed="false">
      <c r="A40" s="5" t="s">
        <v>136</v>
      </c>
      <c r="B40" s="5" t="s">
        <v>1542</v>
      </c>
      <c r="C40" s="5" t="s">
        <v>1545</v>
      </c>
      <c r="D40" s="5" t="s">
        <v>1832</v>
      </c>
      <c r="E40" s="5"/>
      <c r="F40" s="5" t="s">
        <v>881</v>
      </c>
      <c r="G40" s="5"/>
    </row>
    <row r="41" customFormat="false" ht="15" hidden="false" customHeight="true" outlineLevel="0" collapsed="false">
      <c r="A41" s="5" t="s">
        <v>42</v>
      </c>
      <c r="B41" s="5" t="s">
        <v>1769</v>
      </c>
      <c r="C41" s="5" t="s">
        <v>386</v>
      </c>
      <c r="D41" s="5" t="s">
        <v>1833</v>
      </c>
      <c r="E41" s="5" t="s">
        <v>1834</v>
      </c>
      <c r="F41" s="5" t="s">
        <v>895</v>
      </c>
      <c r="G41" s="5" t="s">
        <v>1808</v>
      </c>
    </row>
    <row r="42" customFormat="false" ht="15" hidden="false" customHeight="true" outlineLevel="0" collapsed="false">
      <c r="A42" s="5" t="s">
        <v>42</v>
      </c>
      <c r="B42" s="5" t="s">
        <v>386</v>
      </c>
      <c r="C42" s="5" t="s">
        <v>1403</v>
      </c>
      <c r="D42" s="5" t="s">
        <v>1835</v>
      </c>
      <c r="E42" s="5" t="s">
        <v>1836</v>
      </c>
      <c r="F42" s="5" t="s">
        <v>895</v>
      </c>
      <c r="G42" s="5"/>
    </row>
    <row r="43" customFormat="false" ht="15" hidden="false" customHeight="true" outlineLevel="0" collapsed="false">
      <c r="A43" s="5" t="s">
        <v>42</v>
      </c>
      <c r="B43" s="5" t="s">
        <v>1403</v>
      </c>
      <c r="C43" s="5" t="s">
        <v>386</v>
      </c>
      <c r="D43" s="5" t="s">
        <v>1837</v>
      </c>
      <c r="E43" s="5"/>
      <c r="F43" s="5" t="s">
        <v>1838</v>
      </c>
      <c r="G43" s="5"/>
    </row>
    <row r="44" customFormat="false" ht="15" hidden="false" customHeight="true" outlineLevel="0" collapsed="false">
      <c r="A44" s="5" t="s">
        <v>42</v>
      </c>
      <c r="B44" s="5" t="s">
        <v>1839</v>
      </c>
      <c r="C44" s="5" t="s">
        <v>1406</v>
      </c>
      <c r="D44" s="5" t="s">
        <v>1840</v>
      </c>
      <c r="E44" s="5" t="s">
        <v>1841</v>
      </c>
      <c r="F44" s="5" t="s">
        <v>1838</v>
      </c>
      <c r="G44" s="5"/>
    </row>
    <row r="45" customFormat="false" ht="14.25" hidden="false" customHeight="true" outlineLevel="0" collapsed="false">
      <c r="A45" s="5" t="s">
        <v>42</v>
      </c>
      <c r="B45" s="5" t="s">
        <v>1406</v>
      </c>
      <c r="C45" s="5" t="s">
        <v>386</v>
      </c>
      <c r="D45" s="5" t="s">
        <v>1842</v>
      </c>
      <c r="E45" s="5" t="s">
        <v>1843</v>
      </c>
      <c r="F45" s="5" t="s">
        <v>881</v>
      </c>
      <c r="G45" s="5"/>
    </row>
  </sheetData>
  <autoFilter ref="A4:G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1"/>
    <col collapsed="false" customWidth="true" hidden="false" outlineLevel="0" max="2" min="2" style="1" width="90"/>
    <col collapsed="false" customWidth="true" hidden="false" outlineLevel="0" max="3" min="3" style="1" width="50"/>
  </cols>
  <sheetData>
    <row r="1" customFormat="false" ht="17.25" hidden="false" customHeight="true" outlineLevel="0" collapsed="false">
      <c r="A1" s="2" t="s">
        <v>1844</v>
      </c>
    </row>
    <row r="4" customFormat="false" ht="31.5" hidden="false" customHeight="true" outlineLevel="0" collapsed="false">
      <c r="A4" s="4" t="s">
        <v>1630</v>
      </c>
      <c r="B4" s="4" t="s">
        <v>1845</v>
      </c>
      <c r="C4" s="4" t="s">
        <v>1846</v>
      </c>
    </row>
    <row r="5" customFormat="false" ht="15" hidden="false" customHeight="true" outlineLevel="0" collapsed="false">
      <c r="A5" s="5" t="s">
        <v>40</v>
      </c>
      <c r="B5" s="5" t="s">
        <v>1847</v>
      </c>
      <c r="C5" s="5" t="s">
        <v>1848</v>
      </c>
    </row>
    <row r="6" customFormat="false" ht="15" hidden="false" customHeight="true" outlineLevel="0" collapsed="false">
      <c r="A6" s="5" t="s">
        <v>901</v>
      </c>
      <c r="B6" s="5" t="s">
        <v>1849</v>
      </c>
      <c r="C6" s="5" t="s">
        <v>1850</v>
      </c>
    </row>
    <row r="7" customFormat="false" ht="15" hidden="false" customHeight="true" outlineLevel="0" collapsed="false">
      <c r="A7" s="5" t="s">
        <v>923</v>
      </c>
      <c r="B7" s="5" t="s">
        <v>1851</v>
      </c>
      <c r="C7" s="5" t="s">
        <v>1852</v>
      </c>
    </row>
    <row r="8" customFormat="false" ht="21.75" hidden="false" customHeight="true" outlineLevel="0" collapsed="false">
      <c r="A8" s="5" t="s">
        <v>908</v>
      </c>
      <c r="B8" s="5" t="s">
        <v>1853</v>
      </c>
      <c r="C8" s="5" t="s">
        <v>1854</v>
      </c>
    </row>
    <row r="9" customFormat="false" ht="15" hidden="false" customHeight="true" outlineLevel="0" collapsed="false">
      <c r="A9" s="5" t="s">
        <v>48</v>
      </c>
      <c r="B9" s="5" t="s">
        <v>1855</v>
      </c>
      <c r="C9" s="5" t="s">
        <v>1856</v>
      </c>
    </row>
    <row r="10" customFormat="false" ht="15" hidden="false" customHeight="true" outlineLevel="0" collapsed="false">
      <c r="A10" s="5" t="s">
        <v>1044</v>
      </c>
      <c r="B10" s="5" t="s">
        <v>1857</v>
      </c>
      <c r="C10" s="5" t="s">
        <v>1858</v>
      </c>
    </row>
    <row r="11" customFormat="false" ht="15" hidden="false" customHeight="true" outlineLevel="0" collapsed="false">
      <c r="A11" s="5" t="s">
        <v>914</v>
      </c>
      <c r="B11" s="5" t="s">
        <v>1859</v>
      </c>
      <c r="C11" s="5" t="s">
        <v>1860</v>
      </c>
    </row>
    <row r="12" customFormat="false" ht="15" hidden="false" customHeight="true" outlineLevel="0" collapsed="false">
      <c r="A12" s="5" t="s">
        <v>85</v>
      </c>
      <c r="B12" s="5" t="s">
        <v>1861</v>
      </c>
      <c r="C12" s="5" t="s">
        <v>1862</v>
      </c>
    </row>
    <row r="13" customFormat="false" ht="15" hidden="false" customHeight="true" outlineLevel="0" collapsed="false">
      <c r="A13" s="5" t="s">
        <v>1863</v>
      </c>
      <c r="B13" s="5" t="s">
        <v>1864</v>
      </c>
      <c r="C13" s="5" t="s">
        <v>1865</v>
      </c>
    </row>
    <row r="14" customFormat="false" ht="21.75" hidden="false" customHeight="true" outlineLevel="0" collapsed="false">
      <c r="A14" s="5" t="s">
        <v>72</v>
      </c>
      <c r="B14" s="5" t="s">
        <v>1866</v>
      </c>
      <c r="C14" s="5" t="s">
        <v>1867</v>
      </c>
    </row>
    <row r="15" customFormat="false" ht="15" hidden="false" customHeight="true" outlineLevel="0" collapsed="false">
      <c r="A15" s="5" t="s">
        <v>1868</v>
      </c>
      <c r="B15" s="5" t="s">
        <v>1869</v>
      </c>
      <c r="C15" s="5" t="s">
        <v>1870</v>
      </c>
    </row>
    <row r="16" customFormat="false" ht="21.75" hidden="false" customHeight="true" outlineLevel="0" collapsed="false">
      <c r="A16" s="5" t="s">
        <v>108</v>
      </c>
      <c r="B16" s="5" t="s">
        <v>1871</v>
      </c>
      <c r="C16" s="5" t="s">
        <v>1872</v>
      </c>
    </row>
    <row r="17" customFormat="false" ht="21.75" hidden="false" customHeight="true" outlineLevel="0" collapsed="false">
      <c r="A17" s="5" t="s">
        <v>1092</v>
      </c>
      <c r="B17" s="5" t="s">
        <v>1873</v>
      </c>
      <c r="C17" s="5" t="s">
        <v>1874</v>
      </c>
    </row>
    <row r="18" customFormat="false" ht="15" hidden="false" customHeight="true" outlineLevel="0" collapsed="false">
      <c r="A18" s="5" t="s">
        <v>1167</v>
      </c>
      <c r="B18" s="5" t="s">
        <v>1875</v>
      </c>
      <c r="C18" s="5" t="s">
        <v>1876</v>
      </c>
    </row>
    <row r="19" customFormat="false" ht="15" hidden="false" customHeight="true" outlineLevel="0" collapsed="false">
      <c r="A19" s="5" t="s">
        <v>120</v>
      </c>
      <c r="B19" s="5" t="s">
        <v>1877</v>
      </c>
      <c r="C19" s="5" t="s">
        <v>1878</v>
      </c>
    </row>
    <row r="20" customFormat="false" ht="15" hidden="false" customHeight="true" outlineLevel="0" collapsed="false">
      <c r="A20" s="5" t="s">
        <v>1227</v>
      </c>
      <c r="B20" s="5" t="s">
        <v>1879</v>
      </c>
      <c r="C20" s="5" t="s">
        <v>1880</v>
      </c>
    </row>
    <row r="21" customFormat="false" ht="15" hidden="false" customHeight="true" outlineLevel="0" collapsed="false">
      <c r="A21" s="5" t="s">
        <v>887</v>
      </c>
      <c r="B21" s="5" t="s">
        <v>1881</v>
      </c>
      <c r="C21" s="5" t="s">
        <v>1882</v>
      </c>
    </row>
    <row r="22" customFormat="false" ht="15" hidden="false" customHeight="true" outlineLevel="0" collapsed="false">
      <c r="A22" s="5" t="s">
        <v>754</v>
      </c>
      <c r="B22" s="5" t="s">
        <v>1883</v>
      </c>
      <c r="C22" s="5" t="s">
        <v>1884</v>
      </c>
    </row>
    <row r="23" customFormat="false" ht="21.75" hidden="false" customHeight="true" outlineLevel="0" collapsed="false">
      <c r="A23" s="5" t="s">
        <v>1172</v>
      </c>
      <c r="B23" s="5" t="s">
        <v>1885</v>
      </c>
      <c r="C23" s="5" t="s">
        <v>1886</v>
      </c>
    </row>
    <row r="24" customFormat="false" ht="15" hidden="false" customHeight="true" outlineLevel="0" collapsed="false">
      <c r="A24" s="5" t="s">
        <v>1370</v>
      </c>
      <c r="B24" s="5" t="s">
        <v>1887</v>
      </c>
      <c r="C24" s="5" t="s">
        <v>1888</v>
      </c>
    </row>
    <row r="25" customFormat="false" ht="15" hidden="false" customHeight="true" outlineLevel="0" collapsed="false">
      <c r="A25" s="5" t="s">
        <v>525</v>
      </c>
      <c r="B25" s="5" t="s">
        <v>1889</v>
      </c>
      <c r="C25" s="5" t="s">
        <v>1890</v>
      </c>
    </row>
    <row r="26" customFormat="false" ht="15" hidden="false" customHeight="true" outlineLevel="0" collapsed="false">
      <c r="A26" s="5" t="s">
        <v>96</v>
      </c>
      <c r="B26" s="5" t="s">
        <v>1891</v>
      </c>
      <c r="C26" s="5" t="s">
        <v>1892</v>
      </c>
    </row>
    <row r="27" customFormat="false" ht="21.75" hidden="false" customHeight="true" outlineLevel="0" collapsed="false">
      <c r="A27" s="5" t="s">
        <v>1251</v>
      </c>
      <c r="B27" s="5" t="s">
        <v>1893</v>
      </c>
      <c r="C27" s="5" t="s">
        <v>1894</v>
      </c>
    </row>
    <row r="28" customFormat="false" ht="15" hidden="false" customHeight="true" outlineLevel="0" collapsed="false">
      <c r="A28" s="5" t="s">
        <v>827</v>
      </c>
      <c r="B28" s="5" t="s">
        <v>1895</v>
      </c>
      <c r="C28" s="5" t="s">
        <v>1896</v>
      </c>
    </row>
    <row r="29" customFormat="false" ht="15" hidden="false" customHeight="true" outlineLevel="0" collapsed="false">
      <c r="A29" s="5" t="s">
        <v>1298</v>
      </c>
      <c r="B29" s="5" t="s">
        <v>1897</v>
      </c>
      <c r="C29" s="5" t="s">
        <v>1898</v>
      </c>
    </row>
    <row r="30" customFormat="false" ht="15" hidden="false" customHeight="true" outlineLevel="0" collapsed="false">
      <c r="A30" s="5" t="s">
        <v>1305</v>
      </c>
      <c r="B30" s="5" t="s">
        <v>1899</v>
      </c>
      <c r="C30" s="5" t="s">
        <v>1900</v>
      </c>
    </row>
    <row r="31" customFormat="false" ht="32.25" hidden="false" customHeight="true" outlineLevel="0" collapsed="false">
      <c r="A31" s="5" t="s">
        <v>54</v>
      </c>
      <c r="B31" s="5" t="s">
        <v>1901</v>
      </c>
      <c r="C31" s="5" t="s">
        <v>1902</v>
      </c>
    </row>
  </sheetData>
  <autoFilter ref="A4:C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36"/>
    <col collapsed="false" customWidth="true" hidden="false" outlineLevel="0" max="2" min="2" style="1" width="40"/>
    <col collapsed="false" customWidth="true" hidden="false" outlineLevel="0" max="3" min="3" style="1" width="46"/>
  </cols>
  <sheetData>
    <row r="1" customFormat="false" ht="17.25" hidden="false" customHeight="true" outlineLevel="0" collapsed="false">
      <c r="A1" s="2" t="s">
        <v>1903</v>
      </c>
    </row>
    <row r="2" customFormat="false" ht="15" hidden="false" customHeight="true" outlineLevel="0" collapsed="false">
      <c r="A2" s="3" t="s">
        <v>1904</v>
      </c>
    </row>
    <row r="4" customFormat="false" ht="31.5" hidden="false" customHeight="true" outlineLevel="0" collapsed="false">
      <c r="A4" s="4" t="s">
        <v>1905</v>
      </c>
      <c r="B4" s="4" t="s">
        <v>881</v>
      </c>
      <c r="C4" s="4" t="s">
        <v>68</v>
      </c>
    </row>
    <row r="5" customFormat="false" ht="15" hidden="false" customHeight="true" outlineLevel="0" collapsed="false">
      <c r="A5" s="5" t="s">
        <v>1906</v>
      </c>
      <c r="B5" s="5" t="s">
        <v>1907</v>
      </c>
      <c r="C5" s="5" t="s">
        <v>1908</v>
      </c>
    </row>
    <row r="6" customFormat="false" ht="15" hidden="false" customHeight="true" outlineLevel="0" collapsed="false">
      <c r="A6" s="5" t="s">
        <v>1909</v>
      </c>
      <c r="B6" s="5" t="s">
        <v>1907</v>
      </c>
      <c r="C6" s="5" t="s">
        <v>1910</v>
      </c>
    </row>
    <row r="7" customFormat="false" ht="15" hidden="false" customHeight="true" outlineLevel="0" collapsed="false">
      <c r="A7" s="5" t="s">
        <v>1911</v>
      </c>
      <c r="B7" s="5" t="s">
        <v>1907</v>
      </c>
      <c r="C7" s="5" t="s">
        <v>1912</v>
      </c>
    </row>
    <row r="8" customFormat="false" ht="21.75" hidden="false" customHeight="true" outlineLevel="0" collapsed="false">
      <c r="A8" s="5" t="s">
        <v>1913</v>
      </c>
      <c r="B8" s="5" t="s">
        <v>1914</v>
      </c>
      <c r="C8" s="5" t="s">
        <v>1915</v>
      </c>
    </row>
    <row r="9" customFormat="false" ht="15" hidden="false" customHeight="true" outlineLevel="0" collapsed="false">
      <c r="A9" s="5" t="s">
        <v>154</v>
      </c>
      <c r="B9" s="5" t="s">
        <v>1916</v>
      </c>
      <c r="C9" s="5" t="s">
        <v>1917</v>
      </c>
    </row>
    <row r="10" customFormat="false" ht="15" hidden="false" customHeight="true" outlineLevel="0" collapsed="false">
      <c r="A10" s="5" t="s">
        <v>1918</v>
      </c>
      <c r="B10" s="5" t="s">
        <v>1919</v>
      </c>
      <c r="C10" s="5" t="s">
        <v>1920</v>
      </c>
    </row>
    <row r="11" customFormat="false" ht="15" hidden="false" customHeight="true" outlineLevel="0" collapsed="false">
      <c r="A11" s="5" t="s">
        <v>1921</v>
      </c>
      <c r="B11" s="5" t="s">
        <v>1907</v>
      </c>
      <c r="C11" s="5" t="s">
        <v>1922</v>
      </c>
    </row>
    <row r="12" customFormat="false" ht="15" hidden="false" customHeight="true" outlineLevel="0" collapsed="false">
      <c r="A12" s="5" t="s">
        <v>43</v>
      </c>
      <c r="B12" s="5" t="s">
        <v>1923</v>
      </c>
      <c r="C12" s="5" t="s">
        <v>1924</v>
      </c>
    </row>
    <row r="13" customFormat="false" ht="15" hidden="false" customHeight="true" outlineLevel="0" collapsed="false">
      <c r="A13" s="5" t="s">
        <v>51</v>
      </c>
      <c r="B13" s="5" t="s">
        <v>1925</v>
      </c>
      <c r="C13" s="5" t="s">
        <v>1926</v>
      </c>
    </row>
  </sheetData>
  <autoFilter ref="A4:C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E3" activeCellId="0" sqref="E3"/>
    </sheetView>
  </sheetViews>
  <sheetFormatPr defaultColWidth="8.66796875" defaultRowHeight="14.25" zeroHeight="false" outlineLevelRow="0" outlineLevelCol="0"/>
  <cols>
    <col collapsed="false" customWidth="true" hidden="false" outlineLevel="0" max="1" min="1" style="1" width="40"/>
    <col collapsed="false" customWidth="true" hidden="false" outlineLevel="0" max="3" min="2" style="1" width="13"/>
    <col collapsed="false" customWidth="true" hidden="false" outlineLevel="0" max="4" min="4" style="1" width="11"/>
    <col collapsed="false" customWidth="true" hidden="false" outlineLevel="0" max="5" min="5" style="1" width="15"/>
    <col collapsed="false" customWidth="true" hidden="false" outlineLevel="0" max="7" min="6" style="1" width="13"/>
    <col collapsed="false" customWidth="true" hidden="false" outlineLevel="0" max="8" min="8" style="1" width="20"/>
    <col collapsed="false" customWidth="true" hidden="false" outlineLevel="0" max="9" min="9" style="1" width="18"/>
    <col collapsed="false" customWidth="true" hidden="false" outlineLevel="0" max="10" min="10" style="1" width="9"/>
  </cols>
  <sheetData>
    <row r="1" customFormat="false" ht="17.25" hidden="false" customHeight="true" outlineLevel="0" collapsed="false">
      <c r="A1" s="2" t="s">
        <v>1927</v>
      </c>
    </row>
    <row r="2" customFormat="false" ht="15" hidden="false" customHeight="true" outlineLevel="0" collapsed="false">
      <c r="A2" s="3" t="s">
        <v>1928</v>
      </c>
    </row>
    <row r="4" customFormat="false" ht="15" hidden="false" customHeight="true" outlineLevel="0" collapsed="false">
      <c r="A4" s="10" t="s">
        <v>1929</v>
      </c>
    </row>
    <row r="5" customFormat="false" ht="15" hidden="false" customHeight="true" outlineLevel="0" collapsed="false">
      <c r="A5" s="11" t="s">
        <v>515</v>
      </c>
      <c r="B5" s="12" t="n">
        <v>3000000</v>
      </c>
    </row>
    <row r="6" customFormat="false" ht="15" hidden="false" customHeight="true" outlineLevel="0" collapsed="false">
      <c r="A6" s="11" t="s">
        <v>1930</v>
      </c>
      <c r="B6" s="12" t="n">
        <v>100000</v>
      </c>
    </row>
    <row r="7" customFormat="false" ht="15" hidden="false" customHeight="true" outlineLevel="0" collapsed="false">
      <c r="A7" s="11" t="s">
        <v>520</v>
      </c>
      <c r="B7" s="12" t="n">
        <v>3000000</v>
      </c>
    </row>
    <row r="8" customFormat="false" ht="15" hidden="false" customHeight="true" outlineLevel="0" collapsed="false">
      <c r="A8" s="11" t="s">
        <v>1931</v>
      </c>
      <c r="B8" s="13" t="n">
        <v>46311</v>
      </c>
    </row>
    <row r="9" customFormat="false" ht="15" hidden="false" customHeight="true" outlineLevel="0" collapsed="false">
      <c r="A9" s="11" t="s">
        <v>1932</v>
      </c>
      <c r="B9" s="13" t="n">
        <v>46492</v>
      </c>
    </row>
    <row r="12" customFormat="false" ht="23.25" hidden="false" customHeight="true" outlineLevel="0" collapsed="false">
      <c r="A12" s="4" t="s">
        <v>1933</v>
      </c>
      <c r="B12" s="4" t="s">
        <v>717</v>
      </c>
      <c r="C12" s="4" t="s">
        <v>720</v>
      </c>
      <c r="D12" s="4" t="s">
        <v>1934</v>
      </c>
      <c r="E12" s="4" t="s">
        <v>1935</v>
      </c>
      <c r="F12" s="4" t="s">
        <v>728</v>
      </c>
      <c r="G12" s="4" t="s">
        <v>725</v>
      </c>
      <c r="H12" s="4" t="s">
        <v>1936</v>
      </c>
      <c r="I12" s="4" t="s">
        <v>1937</v>
      </c>
      <c r="J12" s="4" t="s">
        <v>1938</v>
      </c>
    </row>
    <row r="13" customFormat="false" ht="15" hidden="false" customHeight="true" outlineLevel="0" collapsed="false">
      <c r="A13" s="14" t="s">
        <v>1939</v>
      </c>
      <c r="B13" s="15" t="n">
        <v>46311</v>
      </c>
      <c r="C13" s="15" t="n">
        <v>46326</v>
      </c>
      <c r="D13" s="16" t="n">
        <f aca="false">C13-B13+1</f>
        <v>16</v>
      </c>
      <c r="E13" s="16" t="n">
        <f aca="false">DAY(DATE(YEAR(B13),MONTH(B13)+1,0))</f>
        <v>31</v>
      </c>
      <c r="F13" s="17" t="n">
        <f aca="false">D13/E13</f>
        <v>0.516129032258065</v>
      </c>
      <c r="G13" s="18" t="n">
        <f aca="false">$B$5</f>
        <v>3000000</v>
      </c>
      <c r="H13" s="19" t="n">
        <f aca="false">G13*F13</f>
        <v>1548387.09677419</v>
      </c>
      <c r="I13" s="18" t="n">
        <v>1548387</v>
      </c>
      <c r="J13" s="16" t="str">
        <f aca="false">IF(ROUND(H13,0)=I13,"OK","LỆCH")</f>
        <v>OK</v>
      </c>
    </row>
    <row r="14" customFormat="false" ht="15" hidden="false" customHeight="true" outlineLevel="0" collapsed="false">
      <c r="A14" s="14" t="s">
        <v>1940</v>
      </c>
      <c r="B14" s="15" t="n">
        <v>46311</v>
      </c>
      <c r="C14" s="15" t="n">
        <v>46326</v>
      </c>
      <c r="D14" s="16" t="n">
        <f aca="false">C14-B14+1</f>
        <v>16</v>
      </c>
      <c r="E14" s="16" t="n">
        <f aca="false">DAY(DATE(YEAR(B14),MONTH(B14)+1,0))</f>
        <v>31</v>
      </c>
      <c r="F14" s="17" t="n">
        <f aca="false">D14/E14</f>
        <v>0.516129032258065</v>
      </c>
      <c r="G14" s="18" t="n">
        <f aca="false">$B$6</f>
        <v>100000</v>
      </c>
      <c r="H14" s="19" t="n">
        <f aca="false">G14*F14</f>
        <v>51612.9032258065</v>
      </c>
      <c r="I14" s="18" t="n">
        <v>51613</v>
      </c>
      <c r="J14" s="16" t="str">
        <f aca="false">IF(ROUND(H14,0)=I14,"OK","LỆCH")</f>
        <v>OK</v>
      </c>
    </row>
    <row r="15" customFormat="false" ht="15" hidden="false" customHeight="true" outlineLevel="0" collapsed="false">
      <c r="A15" s="14" t="s">
        <v>1941</v>
      </c>
      <c r="B15" s="15" t="n">
        <v>46478</v>
      </c>
      <c r="C15" s="15" t="n">
        <v>46492</v>
      </c>
      <c r="D15" s="16" t="n">
        <f aca="false">C15-B15+1</f>
        <v>15</v>
      </c>
      <c r="E15" s="16" t="n">
        <f aca="false">DAY(DATE(YEAR(B15),MONTH(B15)+1,0))</f>
        <v>30</v>
      </c>
      <c r="F15" s="17" t="n">
        <f aca="false">D15/E15</f>
        <v>0.5</v>
      </c>
      <c r="G15" s="18" t="n">
        <f aca="false">$B$5</f>
        <v>3000000</v>
      </c>
      <c r="H15" s="19" t="n">
        <f aca="false">G15*F15</f>
        <v>1500000</v>
      </c>
      <c r="I15" s="18" t="n">
        <v>1500000</v>
      </c>
      <c r="J15" s="16" t="str">
        <f aca="false">IF(ROUND(H15,0)=I15,"OK","LỆCH")</f>
        <v>OK</v>
      </c>
    </row>
    <row r="16" customFormat="false" ht="15" hidden="false" customHeight="true" outlineLevel="0" collapsed="false">
      <c r="A16" s="14" t="s">
        <v>1942</v>
      </c>
      <c r="B16" s="15" t="n">
        <v>46478</v>
      </c>
      <c r="C16" s="15" t="n">
        <v>46492</v>
      </c>
      <c r="D16" s="16" t="n">
        <f aca="false">C16-B16+1</f>
        <v>15</v>
      </c>
      <c r="E16" s="16" t="n">
        <f aca="false">DAY(DATE(YEAR(B16),MONTH(B16)+1,0))</f>
        <v>30</v>
      </c>
      <c r="F16" s="17" t="n">
        <f aca="false">D16/E16</f>
        <v>0.5</v>
      </c>
      <c r="G16" s="18" t="n">
        <f aca="false">$B$6</f>
        <v>100000</v>
      </c>
      <c r="H16" s="19" t="n">
        <f aca="false">G16*F16</f>
        <v>50000</v>
      </c>
      <c r="I16" s="18" t="n">
        <v>50000</v>
      </c>
      <c r="J16" s="16" t="str">
        <f aca="false">IF(ROUND(H16,0)=I16,"OK","LỆCH")</f>
        <v>OK</v>
      </c>
    </row>
    <row r="17" customFormat="false" ht="15" hidden="false" customHeight="true" outlineLevel="0" collapsed="false">
      <c r="A17" s="14" t="s">
        <v>1943</v>
      </c>
      <c r="B17" s="15" t="n">
        <v>46327</v>
      </c>
      <c r="C17" s="15" t="n">
        <v>46356</v>
      </c>
      <c r="D17" s="16" t="n">
        <f aca="false">C17-B17+1</f>
        <v>30</v>
      </c>
      <c r="E17" s="16" t="n">
        <f aca="false">DAY(DATE(YEAR(B17),MONTH(B17)+1,0))</f>
        <v>30</v>
      </c>
      <c r="F17" s="17" t="n">
        <f aca="false">D17/E17</f>
        <v>1</v>
      </c>
      <c r="G17" s="18" t="n">
        <f aca="false">$B$5</f>
        <v>3000000</v>
      </c>
      <c r="H17" s="19" t="n">
        <f aca="false">G17*F17</f>
        <v>3000000</v>
      </c>
      <c r="I17" s="18" t="n">
        <v>3000000</v>
      </c>
      <c r="J17" s="16" t="str">
        <f aca="false">IF(ROUND(H17,0)=I17,"OK","LỆCH")</f>
        <v>OK</v>
      </c>
    </row>
    <row r="19" customFormat="false" ht="15" hidden="false" customHeight="true" outlineLevel="0" collapsed="false">
      <c r="A19" s="10" t="s">
        <v>1944</v>
      </c>
    </row>
    <row r="20" customFormat="false" ht="15" hidden="false" customHeight="true" outlineLevel="0" collapsed="false">
      <c r="A20" s="11" t="s">
        <v>1945</v>
      </c>
      <c r="B20" s="20" t="n">
        <f aca="false">B7+H13</f>
        <v>4548387.09677419</v>
      </c>
    </row>
    <row r="21" customFormat="false" ht="15" hidden="false" customHeight="true" outlineLevel="0" collapsed="false">
      <c r="A21" s="11" t="s">
        <v>1946</v>
      </c>
      <c r="B21" s="21" t="n">
        <f aca="false">ROUND(B20,-3)</f>
        <v>4548000</v>
      </c>
    </row>
    <row r="22" customFormat="false" ht="15" hidden="false" customHeight="true" outlineLevel="0" collapsed="false">
      <c r="A22" s="3" t="s">
        <v>1947</v>
      </c>
    </row>
    <row r="24" customFormat="false" ht="15" hidden="false" customHeight="true" outlineLevel="0" collapsed="false">
      <c r="A24" s="10" t="s">
        <v>1948</v>
      </c>
    </row>
    <row r="25" customFormat="false" ht="30" hidden="false" customHeight="true" outlineLevel="0" collapsed="false">
      <c r="A25" s="22" t="s">
        <v>1949</v>
      </c>
      <c r="B25" s="22"/>
      <c r="C25" s="22"/>
      <c r="D25" s="22"/>
      <c r="E25" s="22"/>
      <c r="F25" s="22"/>
      <c r="G25" s="22"/>
      <c r="H25" s="22"/>
      <c r="I25" s="22"/>
      <c r="J25" s="22"/>
    </row>
    <row r="26" customFormat="false" ht="30" hidden="false" customHeight="true" outlineLevel="0" collapsed="false">
      <c r="A26" s="22" t="s">
        <v>1950</v>
      </c>
      <c r="B26" s="22"/>
      <c r="C26" s="22"/>
      <c r="D26" s="22"/>
      <c r="E26" s="22"/>
      <c r="F26" s="22"/>
      <c r="G26" s="22"/>
      <c r="H26" s="22"/>
      <c r="I26" s="22"/>
      <c r="J26" s="22"/>
    </row>
    <row r="27" customFormat="false" ht="30" hidden="false" customHeight="true" outlineLevel="0" collapsed="false">
      <c r="A27" s="22" t="s">
        <v>1951</v>
      </c>
      <c r="B27" s="22"/>
      <c r="C27" s="22"/>
      <c r="D27" s="22"/>
      <c r="E27" s="22"/>
      <c r="F27" s="22"/>
      <c r="G27" s="22"/>
      <c r="H27" s="22"/>
      <c r="I27" s="22"/>
      <c r="J27" s="22"/>
    </row>
    <row r="28" customFormat="false" ht="30" hidden="false" customHeight="true" outlineLevel="0" collapsed="false">
      <c r="A28" s="22" t="s">
        <v>1952</v>
      </c>
      <c r="B28" s="22"/>
      <c r="C28" s="22"/>
      <c r="D28" s="22"/>
      <c r="E28" s="22"/>
      <c r="F28" s="22"/>
      <c r="G28" s="22"/>
      <c r="H28" s="22"/>
      <c r="I28" s="22"/>
      <c r="J28" s="22"/>
    </row>
    <row r="29" customFormat="false" ht="30" hidden="false" customHeight="true" outlineLevel="0" collapsed="false">
      <c r="A29" s="22" t="s">
        <v>1953</v>
      </c>
      <c r="B29" s="22"/>
      <c r="C29" s="22"/>
      <c r="D29" s="22"/>
      <c r="E29" s="22"/>
      <c r="F29" s="22"/>
      <c r="G29" s="22"/>
      <c r="H29" s="22"/>
      <c r="I29" s="22"/>
      <c r="J29" s="22"/>
    </row>
  </sheetData>
  <mergeCells count="5">
    <mergeCell ref="A25:J25"/>
    <mergeCell ref="A26:J26"/>
    <mergeCell ref="A27:J27"/>
    <mergeCell ref="A28:J28"/>
    <mergeCell ref="A29:J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0"/>
    <col collapsed="false" customWidth="true" hidden="false" outlineLevel="0" max="3" min="3" style="1" width="48"/>
    <col collapsed="false" customWidth="true" hidden="false" outlineLevel="0" max="4" min="4" style="1" width="70"/>
    <col collapsed="false" customWidth="true" hidden="false" outlineLevel="0" max="5" min="5" style="1" width="34"/>
  </cols>
  <sheetData>
    <row r="1" customFormat="false" ht="15" hidden="false" customHeight="true" outlineLevel="0" collapsed="false">
      <c r="A1" s="4" t="s">
        <v>2</v>
      </c>
      <c r="B1" s="4" t="s">
        <v>1954</v>
      </c>
      <c r="C1" s="4" t="s">
        <v>416</v>
      </c>
      <c r="D1" s="4" t="s">
        <v>1688</v>
      </c>
      <c r="E1" s="4" t="s">
        <v>1955</v>
      </c>
    </row>
    <row r="2" customFormat="false" ht="21.75" hidden="false" customHeight="true" outlineLevel="0" collapsed="false">
      <c r="A2" s="5" t="n">
        <v>1</v>
      </c>
      <c r="B2" s="5" t="s">
        <v>1956</v>
      </c>
      <c r="C2" s="5" t="s">
        <v>1957</v>
      </c>
      <c r="D2" s="5" t="s">
        <v>1958</v>
      </c>
      <c r="E2" s="5" t="s">
        <v>1959</v>
      </c>
    </row>
    <row r="3" customFormat="false" ht="21.75" hidden="false" customHeight="true" outlineLevel="0" collapsed="false">
      <c r="A3" s="5" t="n">
        <v>2</v>
      </c>
      <c r="B3" s="5" t="s">
        <v>1960</v>
      </c>
      <c r="C3" s="5" t="s">
        <v>1961</v>
      </c>
      <c r="D3" s="5" t="s">
        <v>1962</v>
      </c>
      <c r="E3" s="5" t="s">
        <v>1963</v>
      </c>
    </row>
    <row r="4" customFormat="false" ht="15" hidden="false" customHeight="true" outlineLevel="0" collapsed="false">
      <c r="A4" s="5" t="n">
        <v>3</v>
      </c>
      <c r="B4" s="5" t="s">
        <v>1956</v>
      </c>
      <c r="C4" s="5" t="s">
        <v>1964</v>
      </c>
      <c r="D4" s="5" t="s">
        <v>1965</v>
      </c>
      <c r="E4" s="5" t="s">
        <v>1966</v>
      </c>
    </row>
    <row r="5" customFormat="false" ht="15" hidden="false" customHeight="true" outlineLevel="0" collapsed="false">
      <c r="A5" s="5" t="n">
        <v>4</v>
      </c>
      <c r="B5" s="5" t="s">
        <v>1967</v>
      </c>
      <c r="C5" s="5" t="s">
        <v>1968</v>
      </c>
      <c r="D5" s="5" t="s">
        <v>1969</v>
      </c>
      <c r="E5" s="5" t="s">
        <v>1970</v>
      </c>
    </row>
    <row r="6" customFormat="false" ht="21.75" hidden="false" customHeight="true" outlineLevel="0" collapsed="false">
      <c r="A6" s="5" t="n">
        <v>5</v>
      </c>
      <c r="B6" s="5" t="s">
        <v>1971</v>
      </c>
      <c r="C6" s="5" t="s">
        <v>1972</v>
      </c>
      <c r="D6" s="5" t="s">
        <v>1973</v>
      </c>
      <c r="E6" s="5" t="s">
        <v>1974</v>
      </c>
    </row>
    <row r="7" customFormat="false" ht="15" hidden="false" customHeight="true" outlineLevel="0" collapsed="false">
      <c r="A7" s="5" t="n">
        <v>6</v>
      </c>
      <c r="B7" s="5" t="s">
        <v>1975</v>
      </c>
      <c r="C7" s="5" t="s">
        <v>1976</v>
      </c>
      <c r="D7" s="5" t="s">
        <v>1977</v>
      </c>
      <c r="E7" s="5" t="s">
        <v>1978</v>
      </c>
    </row>
    <row r="8" customFormat="false" ht="15" hidden="false" customHeight="true" outlineLevel="0" collapsed="false">
      <c r="A8" s="5" t="n">
        <v>7</v>
      </c>
      <c r="B8" s="5" t="s">
        <v>1956</v>
      </c>
      <c r="C8" s="5" t="s">
        <v>1979</v>
      </c>
      <c r="D8" s="5" t="s">
        <v>1980</v>
      </c>
      <c r="E8" s="5" t="s">
        <v>1981</v>
      </c>
    </row>
    <row r="9" customFormat="false" ht="21.75" hidden="false" customHeight="true" outlineLevel="0" collapsed="false">
      <c r="A9" s="5" t="n">
        <v>8</v>
      </c>
      <c r="B9" s="5" t="s">
        <v>1982</v>
      </c>
      <c r="C9" s="5" t="s">
        <v>1983</v>
      </c>
      <c r="D9" s="5" t="s">
        <v>1984</v>
      </c>
      <c r="E9" s="5" t="s">
        <v>1985</v>
      </c>
    </row>
    <row r="10" customFormat="false" ht="15" hidden="false" customHeight="true" outlineLevel="0" collapsed="false">
      <c r="A10" s="5" t="n">
        <v>9</v>
      </c>
      <c r="B10" s="5" t="s">
        <v>1956</v>
      </c>
      <c r="C10" s="5" t="s">
        <v>1986</v>
      </c>
      <c r="D10" s="5" t="s">
        <v>1987</v>
      </c>
      <c r="E10" s="5" t="s">
        <v>1988</v>
      </c>
    </row>
    <row r="11" customFormat="false" ht="15" hidden="false" customHeight="true" outlineLevel="0" collapsed="false">
      <c r="A11" s="5" t="n">
        <v>10</v>
      </c>
      <c r="B11" s="5" t="s">
        <v>1956</v>
      </c>
      <c r="C11" s="5" t="s">
        <v>1989</v>
      </c>
      <c r="D11" s="5" t="s">
        <v>1990</v>
      </c>
      <c r="E11" s="5" t="s">
        <v>1991</v>
      </c>
    </row>
    <row r="12" customFormat="false" ht="21.75" hidden="false" customHeight="true" outlineLevel="0" collapsed="false">
      <c r="A12" s="5" t="n">
        <v>11</v>
      </c>
      <c r="B12" s="5" t="s">
        <v>1956</v>
      </c>
      <c r="C12" s="5" t="s">
        <v>1992</v>
      </c>
      <c r="D12" s="5" t="s">
        <v>1993</v>
      </c>
      <c r="E12" s="5" t="s">
        <v>1994</v>
      </c>
    </row>
    <row r="13" customFormat="false" ht="15" hidden="false" customHeight="true" outlineLevel="0" collapsed="false">
      <c r="A13" s="5" t="n">
        <v>12</v>
      </c>
      <c r="B13" s="5" t="s">
        <v>1995</v>
      </c>
      <c r="C13" s="5" t="s">
        <v>1996</v>
      </c>
      <c r="D13" s="5" t="s">
        <v>1997</v>
      </c>
      <c r="E13" s="5" t="s">
        <v>1998</v>
      </c>
    </row>
    <row r="14" customFormat="false" ht="32.25" hidden="false" customHeight="true" outlineLevel="0" collapsed="false">
      <c r="A14" s="5" t="n">
        <v>13</v>
      </c>
      <c r="B14" s="5" t="s">
        <v>325</v>
      </c>
      <c r="C14" s="5" t="s">
        <v>1999</v>
      </c>
      <c r="D14" s="5" t="s">
        <v>2000</v>
      </c>
      <c r="E14" s="5" t="s">
        <v>21</v>
      </c>
    </row>
    <row r="15" customFormat="false" ht="15" hidden="false" customHeight="true" outlineLevel="0" collapsed="false">
      <c r="A15" s="5" t="n">
        <v>14</v>
      </c>
      <c r="B15" s="5" t="s">
        <v>2001</v>
      </c>
      <c r="C15" s="5" t="s">
        <v>2002</v>
      </c>
      <c r="D15" s="5" t="s">
        <v>2003</v>
      </c>
      <c r="E15" s="5" t="s">
        <v>2004</v>
      </c>
    </row>
    <row r="16" customFormat="false" ht="22.35" hidden="false" customHeight="false" outlineLevel="0" collapsed="false">
      <c r="A16" s="5" t="n">
        <v>15</v>
      </c>
      <c r="B16" s="5" t="s">
        <v>244</v>
      </c>
      <c r="C16" s="5" t="s">
        <v>2005</v>
      </c>
      <c r="D16" s="5" t="s">
        <v>2006</v>
      </c>
      <c r="E16" s="5"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2026-10-16T10:59:21Z</dcterms:created>
  <dc:creator>openpyxl</dc:creator>
  <dc:description/>
  <dc:language>en-US</dc:language>
  <cp:lastModifiedBy>Le Thi Ngoc Ha</cp:lastModifiedBy>
  <dcterms:modified xsi:type="dcterms:W3CDTF">2026-10-16T15:36:44Z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